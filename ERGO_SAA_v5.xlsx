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lc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<sst xmlns="http://schemas.openxmlformats.org/spreadsheetml/2006/main" count="207" uniqueCount="131">
  <si>
    <t xml:space="preserve">INPUTS — All Blue Cells Are Editable</t>
  </si>
  <si>
    <t xml:space="preserve">CAPITAL &amp; PARAMETERS</t>
  </si>
  <si>
    <t xml:space="preserve">Parameter</t>
  </si>
  <si>
    <t xml:space="preserve">Value</t>
  </si>
  <si>
    <t xml:space="preserve">Notes</t>
  </si>
  <si>
    <t xml:space="preserve">AUM (THB mn)</t>
  </si>
  <si>
    <t xml:space="preserve">Total investable portfolio</t>
  </si>
  <si>
    <t xml:space="preserve">Non-Listed % (bolt-on)</t>
  </si>
  <si>
    <t xml:space="preserve">Fixed 4.8% — not in optimization</t>
  </si>
  <si>
    <t xml:space="preserve">TCA (THB mn)</t>
  </si>
  <si>
    <t xml:space="preserve">Total Capital Available</t>
  </si>
  <si>
    <t xml:space="preserve">TCR_Insurance (mn)</t>
  </si>
  <si>
    <t xml:space="preserve">Fixed insurance risk component</t>
  </si>
  <si>
    <t xml:space="preserve">Risk-Free Rate (Rf)</t>
  </si>
  <si>
    <t xml:space="preserve">For Sharpe ratio</t>
  </si>
  <si>
    <t xml:space="preserve">VaR Z-score (99.5%)</t>
  </si>
  <si>
    <t xml:space="preserve">Parametric confidence level</t>
  </si>
  <si>
    <t xml:space="preserve">OIC Min CAR</t>
  </si>
  <si>
    <t xml:space="preserve">Regulatory floor</t>
  </si>
  <si>
    <t xml:space="preserve">Trading Days/yr</t>
  </si>
  <si>
    <t xml:space="preserve">For daily SD conversion</t>
  </si>
  <si>
    <t xml:space="preserve">CAPITAL MARKET ASSUMPTIONS — 7 Investable Assets (GSAM/KKP Feb 2026)</t>
  </si>
  <si>
    <t xml:space="preserve">Asset</t>
  </si>
  <si>
    <t xml:space="preserve">Return %</t>
  </si>
  <si>
    <t xml:space="preserve">Annual SD %</t>
  </si>
  <si>
    <t xml:space="preserve">Sharpe</t>
  </si>
  <si>
    <t xml:space="preserve">RBC %</t>
  </si>
  <si>
    <t xml:space="preserve">IFRS</t>
  </si>
  <si>
    <t xml:space="preserve">VaR Method</t>
  </si>
  <si>
    <t xml:space="preserve">Note</t>
  </si>
  <si>
    <t xml:space="preserve">Cash &amp; MMF</t>
  </si>
  <si>
    <t xml:space="preserve">Gov Bonds</t>
  </si>
  <si>
    <t xml:space="preserve">OCI (FVOCI)</t>
  </si>
  <si>
    <t xml:space="preserve">DV01</t>
  </si>
  <si>
    <t xml:space="preserve">Corp Bonds</t>
  </si>
  <si>
    <t xml:space="preserve">Global FI</t>
  </si>
  <si>
    <t xml:space="preserve">P&amp;L (FVPL via fund)</t>
  </si>
  <si>
    <t xml:space="preserve">SD-based</t>
  </si>
  <si>
    <t xml:space="preserve">Local REIT</t>
  </si>
  <si>
    <t xml:space="preserve">P&amp;L (FVPL)</t>
  </si>
  <si>
    <t xml:space="preserve">Local Equity</t>
  </si>
  <si>
    <t xml:space="preserve">Global Equity</t>
  </si>
  <si>
    <t xml:space="preserve">Non-Listed Equity [bolt-on]</t>
  </si>
  <si>
    <t xml:space="preserve">0.00%</t>
  </si>
  <si>
    <t xml:space="preserve">n/a</t>
  </si>
  <si>
    <t xml:space="preserve">Excluded (not IFRS classified)</t>
  </si>
  <si>
    <t xml:space="preserve">None</t>
  </si>
  <si>
    <t xml:space="preserve">Return=Risk=RBC=VaR=0</t>
  </si>
  <si>
    <t xml:space="preserve">OCI VaR PARAMETERS — DV01 (Gov &amp; Corp only)</t>
  </si>
  <si>
    <t xml:space="preserve">Duration (yr)</t>
  </si>
  <si>
    <t xml:space="preserve">Yield Vol (bps/yr)</t>
  </si>
  <si>
    <t xml:space="preserve">Yield Vol (decimal)</t>
  </si>
  <si>
    <t xml:space="preserve">Row 17 in CME</t>
  </si>
  <si>
    <t xml:space="preserve">Row 18 in CME</t>
  </si>
  <si>
    <t xml:space="preserve">CORRELATION MATRIX 7×7 (GSAM Feb 2026, p.43)</t>
  </si>
  <si>
    <t xml:space="preserve">Cash</t>
  </si>
  <si>
    <t xml:space="preserve">Gov</t>
  </si>
  <si>
    <t xml:space="preserve">Corp</t>
  </si>
  <si>
    <t xml:space="preserve">GloFI</t>
  </si>
  <si>
    <t xml:space="preserve">REIT</t>
  </si>
  <si>
    <t xml:space="preserve">LocEq</t>
  </si>
  <si>
    <t xml:space="preserve">GloEq</t>
  </si>
  <si>
    <t xml:space="preserve">Calc Engine — COV Matrix &amp; Helper Calculations</t>
  </si>
  <si>
    <t xml:space="preserve">Covariance Matrix (daily) — COV[i][j] = SD_daily_i × SD_daily_j × corr[i][j]</t>
  </si>
  <si>
    <t xml:space="preserve">Inner products: inner[i] = Σj wj×COV[i][j] per scenario (for portfolio variance)</t>
  </si>
  <si>
    <t xml:space="preserve">Current SAA</t>
  </si>
  <si>
    <t xml:space="preserve">Port 1</t>
  </si>
  <si>
    <t xml:space="preserve">Port 2</t>
  </si>
  <si>
    <t xml:space="preserve">Port 3</t>
  </si>
  <si>
    <t xml:space="preserve">Port 4</t>
  </si>
  <si>
    <t xml:space="preserve">Custom</t>
  </si>
  <si>
    <t xml:space="preserve">ERGO Insurance Thailand — SAA Portfolio Analysis  (v5 — All Auto-Calculate)</t>
  </si>
  <si>
    <t xml:space="preserve">AUM 8,000mn  |  TCA 2,091mn  |  TCR_Ins 622.5mn  |  Non-Listed 4.8% bolt-on (Return=Risk=RBC=VaR=0)  |  Investable 95.2%  |  P&amp;L VaR: GloFI+REIT+LocalEq+GloEq  |  OCI VaR (DV01): Gov+Corp  |  ΔTCR = Σ(VaR_standalone × RBC) per asset</t>
  </si>
  <si>
    <t xml:space="preserve">A.  PORTFOLIO WEIGHTS  |  Column H = Custom Scenario (edit blue cells)</t>
  </si>
  <si>
    <t xml:space="preserve">RBC Charge</t>
  </si>
  <si>
    <t xml:space="preserve">► Custom (edit here)</t>
  </si>
  <si>
    <t xml:space="preserve">Non-Listed Equity  [bolt-on — 4.8% fixed]</t>
  </si>
  <si>
    <t xml:space="preserve">0.00% (RBC=0)</t>
  </si>
  <si>
    <t xml:space="preserve">4.80%</t>
  </si>
  <si>
    <t xml:space="preserve">Investable Total</t>
  </si>
  <si>
    <t xml:space="preserve">B.  PORTFOLIO METRICS  (All formulas — edit weights in column H to update)</t>
  </si>
  <si>
    <t xml:space="preserve">Metric</t>
  </si>
  <si>
    <t xml:space="preserve">Formula Logic</t>
  </si>
  <si>
    <t xml:space="preserve">Expected Return</t>
  </si>
  <si>
    <t xml:space="preserve">SUMPRODUCT(weights, returns)</t>
  </si>
  <si>
    <t xml:space="preserve">Portfolio Variance (daily)</t>
  </si>
  <si>
    <t xml:space="preserve">SUMPRODUCT(w, Σj wj×COVij) — no array formula</t>
  </si>
  <si>
    <t xml:space="preserve">Portfolio SD (Annual)</t>
  </si>
  <si>
    <t xml:space="preserve">SQRT(daily_var × 252)</t>
  </si>
  <si>
    <t xml:space="preserve">Sharpe Ratio  (Rf=1.25%)</t>
  </si>
  <si>
    <t xml:space="preserve">(Return − Rf) ÷ Annual SD</t>
  </si>
  <si>
    <t xml:space="preserve">Avg RBC Charge (investable)</t>
  </si>
  <si>
    <t xml:space="preserve">SUMPRODUCT(weights, RBC%)</t>
  </si>
  <si>
    <t xml:space="preserve">Solvency Efficiency (Ret÷RBC)</t>
  </si>
  <si>
    <t xml:space="preserve">Return ÷ Avg RBC Charge</t>
  </si>
  <si>
    <t xml:space="preserve">TCR Base (mn)</t>
  </si>
  <si>
    <t xml:space="preserve">TCR_Ins + AvgRBC × AUM</t>
  </si>
  <si>
    <t xml:space="preserve">CAR Base (%)</t>
  </si>
  <si>
    <t xml:space="preserve">TCA ÷ TCR Base</t>
  </si>
  <si>
    <t xml:space="preserve">C.  VaR ANALYSIS  (Parametric 99.5% | SUMPRODUCT formulas — no array formulas)</t>
  </si>
  <si>
    <t xml:space="preserve">Formula</t>
  </si>
  <si>
    <t xml:space="preserve">10-Day VaR %</t>
  </si>
  <si>
    <t xml:space="preserve">Z × SQRT(daily_var) × SQRT(10)</t>
  </si>
  <si>
    <t xml:space="preserve">10-Day VaR THB (mn)</t>
  </si>
  <si>
    <t xml:space="preserve">VaR% × AUM</t>
  </si>
  <si>
    <t xml:space="preserve">1-Year VaR %  (parametric)</t>
  </si>
  <si>
    <t xml:space="preserve">Z × Annual SD  [KKP uses historical — will differ]</t>
  </si>
  <si>
    <t xml:space="preserve">1-Year VaR THB (mn)</t>
  </si>
  <si>
    <t xml:space="preserve">VaR1y% × AUM  [parametric, not historical]</t>
  </si>
  <si>
    <t xml:space="preserve">P&amp;L VaR (mn)  [standalone]</t>
  </si>
  <si>
    <t xml:space="preserve">Σ Z×(SD_i/√252)×√10×wᵢ×AUM for GloFI,REIT,LocEq,GloEq</t>
  </si>
  <si>
    <t xml:space="preserve">OCI VaR (mn)  [DV01]</t>
  </si>
  <si>
    <t xml:space="preserve">Σ Dur×Z×(YldVol/√252)×√10×wᵢ×AUM for Gov,Corp</t>
  </si>
  <si>
    <t xml:space="preserve">Total VaR (10d) uses correlation → lower than P&amp;L+OCI standalone sum (diversification benefit).  P&amp;L VaR: FVPL assets (GlobalFI via fund, LocalREIT, LocalEq, GlobalEq).  OCI VaR: DV01 method for FVOCI assets (Gov Bonds, Corp Bonds only).</t>
  </si>
  <si>
    <t xml:space="preserve">D.  CAR STRESS  |  ΔTCR = Σ(VaR_standalone_i × RBC_i) per asset</t>
  </si>
  <si>
    <t xml:space="preserve">Step</t>
  </si>
  <si>
    <t xml:space="preserve">TCA  (fixed)</t>
  </si>
  <si>
    <t xml:space="preserve">From Inputs</t>
  </si>
  <si>
    <t xml:space="preserve">  − Total VaR 10d (mn)</t>
  </si>
  <si>
    <t xml:space="preserve">Correlated portfolio VaR</t>
  </si>
  <si>
    <t xml:space="preserve">tca stressed (mn)</t>
  </si>
  <si>
    <t xml:space="preserve">TCA − VaR 10d</t>
  </si>
  <si>
    <t xml:space="preserve">  − ΔTCR (mn)</t>
  </si>
  <si>
    <t xml:space="preserve">Σ(VaR_standalone_i × RBC_i) per asset</t>
  </si>
  <si>
    <t xml:space="preserve">tcr stressed (mn)</t>
  </si>
  <si>
    <t xml:space="preserve">TCR Base − ΔTCR</t>
  </si>
  <si>
    <t xml:space="preserve">CAR Stressed (%)</t>
  </si>
  <si>
    <t xml:space="preserve">TCA Stressed ÷ TCR Stressed</t>
  </si>
  <si>
    <t xml:space="preserve">ΔCAR vs Base (211.4%)</t>
  </si>
  <si>
    <t xml:space="preserve">CAR Stressed − 211.4%</t>
  </si>
  <si>
    <t xml:space="preserve">ΔTCR = Σ(VaR_standalone_i × RBC_i): conservative, standalone per-asset (no diversification in TCR — OIC regulation).  Total VaR uses correlation matrix (lower). OIC min CAR = 140%. All scenarios well above.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</si>
</sst>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#,##0.0"/>
    <numFmt numFmtId="168" formatCode="0.00%"/>
    <numFmt numFmtId="169" formatCode="0.000"/>
    <numFmt numFmtId="170" formatCode="0"/>
    <numFmt numFmtId="171" formatCode="0.00"/>
    <numFmt numFmtId="172" formatCode="0.0"/>
    <numFmt numFmtId="173" formatCode="0.00000"/>
    <numFmt numFmtId="174" formatCode="0.00000000E+00"/>
    <numFmt numFmtId="175" formatCode="0.0000000000"/>
    <numFmt numFmtId="176" formatCode="0.00000000"/>
    <numFmt numFmtId="177" formatCode="#,##0.00"/>
    <numFmt numFmtId="178" formatCode="\+0.0%;\-0.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9"/>
      <color rgb="FF595959"/>
      <name val="Calibri"/>
      <family val="0"/>
      <charset val="1"/>
    </font>
    <font>
      <sz val="9"/>
      <color rgb="FF1F3864"/>
      <name val="Calibri"/>
      <family val="0"/>
      <charset val="1"/>
    </font>
    <font>
      <sz val="9"/>
      <color rgb="FF8B0000"/>
      <name val="Calibri"/>
      <family val="0"/>
      <charset val="1"/>
    </font>
    <font>
      <sz val="9"/>
      <color rgb="FF1E7E34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8B0000"/>
      <name val="Calibri"/>
      <family val="0"/>
      <charset val="1"/>
    </font>
    <font>
      <sz val="9"/>
      <color rgb="FFE651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7"/>
      <name val="Calibri"/>
      <family val="0"/>
      <charset val="1"/>
    </font>
    <font>
      <b val="true"/>
      <sz val="8"/>
      <color rgb="FF1F3864"/>
      <name val="Calibri"/>
      <family val="0"/>
      <charset val="1"/>
    </font>
    <font>
      <b val="true"/>
      <sz val="8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sz val="8"/>
      <color rgb="FF595959"/>
      <name val="Calibri"/>
      <family val="0"/>
      <charset val="1"/>
    </font>
    <font>
      <sz val="8"/>
      <color rgb="FFE65100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9"/>
      <color rgb="FFC8102E"/>
      <name val="Calibri"/>
      <family val="0"/>
      <charset val="1"/>
    </font>
    <font>
      <b val="true"/>
      <sz val="9"/>
      <color rgb="FFE65100"/>
      <name val="Calibri"/>
      <family val="0"/>
      <charset val="1"/>
    </font>
    <font>
      <i val="true"/>
      <sz val="8"/>
      <color rgb="FFE65100"/>
      <name val="Calibri"/>
      <family val="0"/>
      <charset val="1"/>
    </font>
    <font>
      <b val="true"/>
      <sz val="9"/>
      <color rgb="FF1E7E34"/>
      <name val="Calibri"/>
      <family val="0"/>
      <charset val="1"/>
    </font>
    <font>
      <b val="true"/>
      <sz val="10"/>
      <color rgb="FF1E7E34"/>
      <name val="Calibri"/>
      <family val="0"/>
      <charset val="1"/>
    </font>
    <font>
      <b val="true"/>
      <sz val="11"/>
      <color rgb="FFE651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  <fill>
      <patternFill patternType="solid">
        <fgColor rgb="FFEBF5FF"/>
        <bgColor rgb="FFF0F0FF"/>
      </patternFill>
    </fill>
    <fill>
      <patternFill patternType="solid">
        <fgColor rgb="FFC8102E"/>
        <bgColor rgb="FF8B0000"/>
      </patternFill>
    </fill>
    <fill>
      <patternFill patternType="solid">
        <fgColor rgb="FFF0F0FF"/>
        <bgColor rgb="FFEBF5FF"/>
      </patternFill>
    </fill>
    <fill>
      <patternFill patternType="solid">
        <fgColor rgb="FFFFF0F0"/>
        <bgColor rgb="FFFFF4E6"/>
      </patternFill>
    </fill>
    <fill>
      <patternFill patternType="solid">
        <fgColor rgb="FFFFF4E6"/>
        <bgColor rgb="FFFFF0F0"/>
      </patternFill>
    </fill>
    <fill>
      <patternFill patternType="solid">
        <fgColor rgb="FFF5F5F5"/>
        <bgColor rgb="FFF0F0FF"/>
      </patternFill>
    </fill>
    <fill>
      <patternFill patternType="solid">
        <fgColor rgb="FFE65100"/>
        <bgColor rgb="FF993300"/>
      </patternFill>
    </fill>
    <fill>
      <patternFill patternType="solid">
        <fgColor rgb="FFE8E8E8"/>
        <bgColor rgb="FFF0F0FF"/>
      </patternFill>
    </fill>
    <fill>
      <patternFill patternType="solid">
        <fgColor rgb="FFF0FFF4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E6"/>
      <rgbColor rgb="FFEBF5FF"/>
      <rgbColor rgb="FF660066"/>
      <rgbColor rgb="FFFF8080"/>
      <rgbColor rgb="FF0066CC"/>
      <rgbColor rgb="FFF0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E8E8E8"/>
      <rgbColor rgb="FFFFF0F0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9"/>
    <col collapsed="false" customWidth="true" hidden="false" outlineLevel="0" max="9" min="9" style="1" width="1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8000</v>
      </c>
      <c r="C5" s="7" t="s">
        <v>6</v>
      </c>
    </row>
    <row r="6" customFormat="false" ht="15" hidden="false" customHeight="true" outlineLevel="0" collapsed="false">
      <c r="A6" s="5" t="s">
        <v>7</v>
      </c>
      <c r="B6" s="8" t="n">
        <v>0.048</v>
      </c>
      <c r="C6" s="7" t="s">
        <v>8</v>
      </c>
    </row>
    <row r="7" customFormat="false" ht="15" hidden="false" customHeight="true" outlineLevel="0" collapsed="false">
      <c r="A7" s="5" t="s">
        <v>9</v>
      </c>
      <c r="B7" s="6" t="n">
        <v>2091</v>
      </c>
      <c r="C7" s="7" t="s">
        <v>10</v>
      </c>
    </row>
    <row r="8" customFormat="false" ht="15" hidden="false" customHeight="true" outlineLevel="0" collapsed="false">
      <c r="A8" s="5" t="s">
        <v>11</v>
      </c>
      <c r="B8" s="9" t="n">
        <v>622.5</v>
      </c>
      <c r="C8" s="7" t="s">
        <v>12</v>
      </c>
    </row>
    <row r="9" customFormat="false" ht="15" hidden="false" customHeight="true" outlineLevel="0" collapsed="false">
      <c r="A9" s="5" t="s">
        <v>13</v>
      </c>
      <c r="B9" s="10" t="n">
        <v>0.0125</v>
      </c>
      <c r="C9" s="7" t="s">
        <v>14</v>
      </c>
    </row>
    <row r="10" customFormat="false" ht="15" hidden="false" customHeight="true" outlineLevel="0" collapsed="false">
      <c r="A10" s="5" t="s">
        <v>15</v>
      </c>
      <c r="B10" s="11" t="n">
        <v>2.576</v>
      </c>
      <c r="C10" s="7" t="s">
        <v>16</v>
      </c>
    </row>
    <row r="11" customFormat="false" ht="15" hidden="false" customHeight="true" outlineLevel="0" collapsed="false">
      <c r="A11" s="5" t="s">
        <v>17</v>
      </c>
      <c r="B11" s="8" t="n">
        <v>1.4</v>
      </c>
      <c r="C11" s="7" t="s">
        <v>18</v>
      </c>
    </row>
    <row r="12" customFormat="false" ht="15" hidden="false" customHeight="true" outlineLevel="0" collapsed="false">
      <c r="A12" s="5" t="s">
        <v>19</v>
      </c>
      <c r="B12" s="12" t="n">
        <v>252</v>
      </c>
      <c r="C12" s="7" t="s">
        <v>20</v>
      </c>
    </row>
    <row r="14" customFormat="false" ht="19.5" hidden="false" customHeight="true" outlineLevel="0" collapsed="false">
      <c r="A14" s="13" t="s">
        <v>21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true" outlineLevel="0" collapsed="false">
      <c r="A15" s="4" t="s">
        <v>22</v>
      </c>
      <c r="B15" s="4" t="s">
        <v>23</v>
      </c>
      <c r="C15" s="4" t="s">
        <v>24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29</v>
      </c>
    </row>
    <row r="16" customFormat="false" ht="15" hidden="false" customHeight="true" outlineLevel="0" collapsed="false">
      <c r="A16" s="5" t="s">
        <v>30</v>
      </c>
      <c r="B16" s="10" t="n">
        <v>0.013</v>
      </c>
      <c r="C16" s="10" t="n">
        <v>0</v>
      </c>
      <c r="D16" s="14"/>
      <c r="E16" s="10" t="n">
        <v>0.002</v>
      </c>
      <c r="F16" s="15"/>
      <c r="G16" s="15"/>
      <c r="H16" s="5"/>
    </row>
    <row r="17" customFormat="false" ht="15" hidden="false" customHeight="true" outlineLevel="0" collapsed="false">
      <c r="A17" s="5" t="s">
        <v>31</v>
      </c>
      <c r="B17" s="10" t="n">
        <v>0.013</v>
      </c>
      <c r="C17" s="10" t="n">
        <v>0.01</v>
      </c>
      <c r="D17" s="14" t="n">
        <v>0.09</v>
      </c>
      <c r="E17" s="10" t="n">
        <v>0.046</v>
      </c>
      <c r="F17" s="16" t="s">
        <v>32</v>
      </c>
      <c r="G17" s="16" t="s">
        <v>33</v>
      </c>
      <c r="H17" s="5"/>
    </row>
    <row r="18" customFormat="false" ht="15" hidden="false" customHeight="true" outlineLevel="0" collapsed="false">
      <c r="A18" s="5" t="s">
        <v>34</v>
      </c>
      <c r="B18" s="10" t="n">
        <v>0.013</v>
      </c>
      <c r="C18" s="10" t="n">
        <v>0.008</v>
      </c>
      <c r="D18" s="14" t="n">
        <v>0.1</v>
      </c>
      <c r="E18" s="10" t="n">
        <v>0.0455</v>
      </c>
      <c r="F18" s="16" t="s">
        <v>32</v>
      </c>
      <c r="G18" s="16" t="s">
        <v>33</v>
      </c>
      <c r="H18" s="5"/>
    </row>
    <row r="19" customFormat="false" ht="15" hidden="false" customHeight="true" outlineLevel="0" collapsed="false">
      <c r="A19" s="5" t="s">
        <v>35</v>
      </c>
      <c r="B19" s="10" t="n">
        <v>0.03</v>
      </c>
      <c r="C19" s="10" t="n">
        <v>0.056</v>
      </c>
      <c r="D19" s="14" t="n">
        <v>0.32</v>
      </c>
      <c r="E19" s="10" t="n">
        <v>0.059</v>
      </c>
      <c r="F19" s="17" t="s">
        <v>36</v>
      </c>
      <c r="G19" s="18" t="s">
        <v>37</v>
      </c>
      <c r="H19" s="5"/>
    </row>
    <row r="20" customFormat="false" ht="15" hidden="false" customHeight="true" outlineLevel="0" collapsed="false">
      <c r="A20" s="5" t="s">
        <v>38</v>
      </c>
      <c r="B20" s="10" t="n">
        <v>0.058</v>
      </c>
      <c r="C20" s="10" t="n">
        <v>0.135</v>
      </c>
      <c r="D20" s="14" t="n">
        <v>0.34</v>
      </c>
      <c r="E20" s="10" t="n">
        <v>0.16</v>
      </c>
      <c r="F20" s="17" t="s">
        <v>39</v>
      </c>
      <c r="G20" s="18" t="s">
        <v>37</v>
      </c>
      <c r="H20" s="5"/>
    </row>
    <row r="21" customFormat="false" ht="15" hidden="false" customHeight="true" outlineLevel="0" collapsed="false">
      <c r="A21" s="5" t="s">
        <v>40</v>
      </c>
      <c r="B21" s="10" t="n">
        <v>0.043</v>
      </c>
      <c r="C21" s="10" t="n">
        <v>0.17</v>
      </c>
      <c r="D21" s="14" t="n">
        <v>0.18</v>
      </c>
      <c r="E21" s="10" t="n">
        <v>0.18</v>
      </c>
      <c r="F21" s="17" t="s">
        <v>39</v>
      </c>
      <c r="G21" s="18" t="s">
        <v>37</v>
      </c>
      <c r="H21" s="5"/>
    </row>
    <row r="22" customFormat="false" ht="15" hidden="false" customHeight="true" outlineLevel="0" collapsed="false">
      <c r="A22" s="5" t="s">
        <v>41</v>
      </c>
      <c r="B22" s="10" t="n">
        <v>0.075</v>
      </c>
      <c r="C22" s="10" t="n">
        <v>0.166</v>
      </c>
      <c r="D22" s="14" t="n">
        <v>0.38</v>
      </c>
      <c r="E22" s="10" t="n">
        <v>0.25</v>
      </c>
      <c r="F22" s="17" t="s">
        <v>39</v>
      </c>
      <c r="G22" s="18" t="s">
        <v>37</v>
      </c>
      <c r="H22" s="5"/>
    </row>
    <row r="23" customFormat="false" ht="15" hidden="false" customHeight="true" outlineLevel="0" collapsed="false">
      <c r="A23" s="19" t="s">
        <v>42</v>
      </c>
      <c r="B23" s="20" t="s">
        <v>43</v>
      </c>
      <c r="C23" s="20" t="s">
        <v>43</v>
      </c>
      <c r="D23" s="20" t="s">
        <v>44</v>
      </c>
      <c r="E23" s="20" t="s">
        <v>43</v>
      </c>
      <c r="F23" s="21" t="s">
        <v>45</v>
      </c>
      <c r="G23" s="21" t="s">
        <v>46</v>
      </c>
      <c r="H23" s="21" t="s">
        <v>47</v>
      </c>
    </row>
    <row r="25" customFormat="false" ht="19.5" hidden="false" customHeight="true" outlineLevel="0" collapsed="false">
      <c r="A25" s="22" t="s">
        <v>48</v>
      </c>
      <c r="B25" s="22"/>
      <c r="C25" s="22"/>
      <c r="D25" s="22"/>
      <c r="E25" s="22"/>
    </row>
    <row r="26" customFormat="false" ht="15" hidden="false" customHeight="true" outlineLevel="0" collapsed="false">
      <c r="A26" s="4" t="s">
        <v>22</v>
      </c>
      <c r="B26" s="4" t="s">
        <v>49</v>
      </c>
      <c r="C26" s="4" t="s">
        <v>50</v>
      </c>
      <c r="D26" s="4" t="s">
        <v>51</v>
      </c>
      <c r="E26" s="4" t="s">
        <v>29</v>
      </c>
    </row>
    <row r="27" customFormat="false" ht="15" hidden="false" customHeight="true" outlineLevel="0" collapsed="false">
      <c r="A27" s="5" t="s">
        <v>31</v>
      </c>
      <c r="B27" s="23" t="n">
        <v>4</v>
      </c>
      <c r="C27" s="12" t="n">
        <v>45</v>
      </c>
      <c r="D27" s="24" t="n">
        <f aca="false">C27/10000</f>
        <v>0.0045</v>
      </c>
      <c r="E27" s="7" t="s">
        <v>52</v>
      </c>
    </row>
    <row r="28" customFormat="false" ht="15" hidden="false" customHeight="true" outlineLevel="0" collapsed="false">
      <c r="A28" s="5" t="s">
        <v>34</v>
      </c>
      <c r="B28" s="23" t="n">
        <v>2</v>
      </c>
      <c r="C28" s="12" t="n">
        <v>40</v>
      </c>
      <c r="D28" s="24" t="n">
        <f aca="false">C28/10000</f>
        <v>0.004</v>
      </c>
      <c r="E28" s="7" t="s">
        <v>53</v>
      </c>
    </row>
    <row r="30" customFormat="false" ht="19.5" hidden="false" customHeight="true" outlineLevel="0" collapsed="false">
      <c r="A30" s="13" t="s">
        <v>54</v>
      </c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true" outlineLevel="0" collapsed="false">
      <c r="A31" s="25"/>
      <c r="B31" s="26" t="s">
        <v>55</v>
      </c>
      <c r="C31" s="26" t="s">
        <v>56</v>
      </c>
      <c r="D31" s="26" t="s">
        <v>57</v>
      </c>
      <c r="E31" s="26" t="s">
        <v>58</v>
      </c>
      <c r="F31" s="26" t="s">
        <v>59</v>
      </c>
      <c r="G31" s="26" t="s">
        <v>60</v>
      </c>
      <c r="H31" s="26" t="s">
        <v>61</v>
      </c>
    </row>
    <row r="32" customFormat="false" ht="15" hidden="false" customHeight="true" outlineLevel="0" collapsed="false">
      <c r="A32" s="26" t="s">
        <v>55</v>
      </c>
      <c r="B32" s="27" t="n">
        <v>1</v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</row>
    <row r="33" customFormat="false" ht="15" hidden="false" customHeight="true" outlineLevel="0" collapsed="false">
      <c r="A33" s="26" t="s">
        <v>56</v>
      </c>
      <c r="B33" s="28" t="n">
        <v>0</v>
      </c>
      <c r="C33" s="27" t="n">
        <v>1</v>
      </c>
      <c r="D33" s="29" t="n">
        <v>0.58</v>
      </c>
      <c r="E33" s="28" t="n">
        <v>0.11</v>
      </c>
      <c r="F33" s="28" t="n">
        <v>0.17</v>
      </c>
      <c r="G33" s="28" t="n">
        <v>0.02</v>
      </c>
      <c r="H33" s="28" t="n">
        <v>0.09</v>
      </c>
    </row>
    <row r="34" customFormat="false" ht="15" hidden="false" customHeight="true" outlineLevel="0" collapsed="false">
      <c r="A34" s="26" t="s">
        <v>57</v>
      </c>
      <c r="B34" s="28" t="n">
        <v>0</v>
      </c>
      <c r="C34" s="29" t="n">
        <v>0.58</v>
      </c>
      <c r="D34" s="27" t="n">
        <v>1</v>
      </c>
      <c r="E34" s="28" t="n">
        <v>0.1</v>
      </c>
      <c r="F34" s="28" t="n">
        <v>0.15</v>
      </c>
      <c r="G34" s="28" t="n">
        <v>0.06</v>
      </c>
      <c r="H34" s="28" t="n">
        <v>0.14</v>
      </c>
    </row>
    <row r="35" customFormat="false" ht="15" hidden="false" customHeight="true" outlineLevel="0" collapsed="false">
      <c r="A35" s="26" t="s">
        <v>58</v>
      </c>
      <c r="B35" s="28" t="n">
        <v>0</v>
      </c>
      <c r="C35" s="28" t="n">
        <v>0.11</v>
      </c>
      <c r="D35" s="28" t="n">
        <v>0.1</v>
      </c>
      <c r="E35" s="27" t="n">
        <v>1</v>
      </c>
      <c r="F35" s="30" t="n">
        <v>0.3</v>
      </c>
      <c r="G35" s="28" t="n">
        <v>0.01</v>
      </c>
      <c r="H35" s="28" t="n">
        <v>0.26</v>
      </c>
    </row>
    <row r="36" customFormat="false" ht="15" hidden="false" customHeight="true" outlineLevel="0" collapsed="false">
      <c r="A36" s="26" t="s">
        <v>59</v>
      </c>
      <c r="B36" s="28" t="n">
        <v>0</v>
      </c>
      <c r="C36" s="28" t="n">
        <v>0.17</v>
      </c>
      <c r="D36" s="28" t="n">
        <v>0.15</v>
      </c>
      <c r="E36" s="30" t="n">
        <v>0.3</v>
      </c>
      <c r="F36" s="27" t="n">
        <v>1</v>
      </c>
      <c r="G36" s="29" t="n">
        <v>0.64</v>
      </c>
      <c r="H36" s="30" t="n">
        <v>0.44</v>
      </c>
    </row>
    <row r="37" customFormat="false" ht="15" hidden="false" customHeight="true" outlineLevel="0" collapsed="false">
      <c r="A37" s="26" t="s">
        <v>60</v>
      </c>
      <c r="B37" s="28" t="n">
        <v>0</v>
      </c>
      <c r="C37" s="28" t="n">
        <v>0.02</v>
      </c>
      <c r="D37" s="28" t="n">
        <v>0.06</v>
      </c>
      <c r="E37" s="28" t="n">
        <v>0.01</v>
      </c>
      <c r="F37" s="29" t="n">
        <v>0.64</v>
      </c>
      <c r="G37" s="27" t="n">
        <v>1</v>
      </c>
      <c r="H37" s="30" t="n">
        <v>0.45</v>
      </c>
    </row>
    <row r="38" customFormat="false" ht="15" hidden="false" customHeight="true" outlineLevel="0" collapsed="false">
      <c r="A38" s="26" t="s">
        <v>61</v>
      </c>
      <c r="B38" s="28" t="n">
        <v>0</v>
      </c>
      <c r="C38" s="28" t="n">
        <v>0.09</v>
      </c>
      <c r="D38" s="28" t="n">
        <v>0.14</v>
      </c>
      <c r="E38" s="28" t="n">
        <v>0.26</v>
      </c>
      <c r="F38" s="30" t="n">
        <v>0.44</v>
      </c>
      <c r="G38" s="30" t="n">
        <v>0.45</v>
      </c>
      <c r="H38" s="27" t="n">
        <v>1</v>
      </c>
    </row>
  </sheetData>
  <mergeCells count="5">
    <mergeCell ref="A1:H1"/>
    <mergeCell ref="A3:E3"/>
    <mergeCell ref="A14:H14"/>
    <mergeCell ref="A25:E25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4"/>
  </cols>
  <sheetData>
    <row r="1" customFormat="false" ht="15" hidden="false" customHeight="true" outlineLevel="0" collapsed="false">
      <c r="A1" s="31" t="s">
        <v>62</v>
      </c>
    </row>
    <row r="3" customFormat="false" ht="15" hidden="false" customHeight="true" outlineLevel="0" collapsed="false">
      <c r="A3" s="32" t="s">
        <v>63</v>
      </c>
    </row>
    <row r="4" customFormat="false" ht="15" hidden="false" customHeight="true" outlineLevel="0" collapsed="false">
      <c r="A4" s="25"/>
      <c r="B4" s="33" t="s">
        <v>55</v>
      </c>
      <c r="C4" s="33" t="s">
        <v>56</v>
      </c>
      <c r="D4" s="33" t="s">
        <v>57</v>
      </c>
      <c r="E4" s="33" t="s">
        <v>58</v>
      </c>
      <c r="F4" s="33" t="s">
        <v>59</v>
      </c>
      <c r="G4" s="33" t="s">
        <v>60</v>
      </c>
      <c r="H4" s="33" t="s">
        <v>61</v>
      </c>
    </row>
    <row r="5" customFormat="false" ht="15" hidden="false" customHeight="true" outlineLevel="0" collapsed="false">
      <c r="A5" s="33" t="s">
        <v>55</v>
      </c>
      <c r="B5" s="34" t="n">
        <f aca="false">(Inputs!C16/SQRT(Inputs!B12))*(Inputs!C16/SQRT(Inputs!B12))*Inputs!B32</f>
        <v>0</v>
      </c>
      <c r="C5" s="34" t="n">
        <f aca="false">(Inputs!C16/SQRT(Inputs!B12))*(Inputs!C17/SQRT(Inputs!B12))*Inputs!C32</f>
        <v>0</v>
      </c>
      <c r="D5" s="34" t="n">
        <f aca="false">(Inputs!C16/SQRT(Inputs!B12))*(Inputs!C18/SQRT(Inputs!B12))*Inputs!D32</f>
        <v>0</v>
      </c>
      <c r="E5" s="34" t="n">
        <f aca="false">(Inputs!C16/SQRT(Inputs!B12))*(Inputs!C19/SQRT(Inputs!B12))*Inputs!E32</f>
        <v>0</v>
      </c>
      <c r="F5" s="34" t="n">
        <f aca="false">(Inputs!C16/SQRT(Inputs!B12))*(Inputs!C20/SQRT(Inputs!B12))*Inputs!F32</f>
        <v>0</v>
      </c>
      <c r="G5" s="34" t="n">
        <f aca="false">(Inputs!C16/SQRT(Inputs!B12))*(Inputs!C21/SQRT(Inputs!B12))*Inputs!G32</f>
        <v>0</v>
      </c>
      <c r="H5" s="34" t="n">
        <f aca="false">(Inputs!C16/SQRT(Inputs!B12))*(Inputs!C22/SQRT(Inputs!B12))*Inputs!H32</f>
        <v>0</v>
      </c>
    </row>
    <row r="6" customFormat="false" ht="15" hidden="false" customHeight="true" outlineLevel="0" collapsed="false">
      <c r="A6" s="33" t="s">
        <v>56</v>
      </c>
      <c r="B6" s="34" t="n">
        <f aca="false">(Inputs!C17/SQRT(Inputs!B12))*(Inputs!C16/SQRT(Inputs!B12))*Inputs!B33</f>
        <v>0</v>
      </c>
      <c r="C6" s="34" t="n">
        <f aca="false">(Inputs!C17/SQRT(Inputs!B12))*(Inputs!C17/SQRT(Inputs!B12))*Inputs!C33</f>
        <v>3.96825396825397E-007</v>
      </c>
      <c r="D6" s="34" t="n">
        <f aca="false">(Inputs!C17/SQRT(Inputs!B12))*(Inputs!C18/SQRT(Inputs!B12))*Inputs!D33</f>
        <v>1.84126984126984E-007</v>
      </c>
      <c r="E6" s="34" t="n">
        <f aca="false">(Inputs!C17/SQRT(Inputs!B12))*(Inputs!C19/SQRT(Inputs!B12))*Inputs!E33</f>
        <v>2.44444444444444E-007</v>
      </c>
      <c r="F6" s="34" t="n">
        <f aca="false">(Inputs!C17/SQRT(Inputs!B12))*(Inputs!C20/SQRT(Inputs!B12))*Inputs!F33</f>
        <v>9.10714285714286E-007</v>
      </c>
      <c r="G6" s="34" t="n">
        <f aca="false">(Inputs!C17/SQRT(Inputs!B12))*(Inputs!C21/SQRT(Inputs!B12))*Inputs!G33</f>
        <v>1.34920634920635E-007</v>
      </c>
      <c r="H6" s="34" t="n">
        <f aca="false">(Inputs!C17/SQRT(Inputs!B12))*(Inputs!C22/SQRT(Inputs!B12))*Inputs!H33</f>
        <v>5.92857142857143E-007</v>
      </c>
    </row>
    <row r="7" customFormat="false" ht="15" hidden="false" customHeight="true" outlineLevel="0" collapsed="false">
      <c r="A7" s="33" t="s">
        <v>57</v>
      </c>
      <c r="B7" s="34" t="n">
        <f aca="false">(Inputs!C18/SQRT(Inputs!B12))*(Inputs!C16/SQRT(Inputs!B12))*Inputs!B34</f>
        <v>0</v>
      </c>
      <c r="C7" s="34" t="n">
        <f aca="false">(Inputs!C18/SQRT(Inputs!B12))*(Inputs!C17/SQRT(Inputs!B12))*Inputs!C34</f>
        <v>1.84126984126984E-007</v>
      </c>
      <c r="D7" s="34" t="n">
        <f aca="false">(Inputs!C18/SQRT(Inputs!B12))*(Inputs!C18/SQRT(Inputs!B12))*Inputs!D34</f>
        <v>2.53968253968254E-007</v>
      </c>
      <c r="E7" s="34" t="n">
        <f aca="false">(Inputs!C18/SQRT(Inputs!B12))*(Inputs!C19/SQRT(Inputs!B12))*Inputs!E34</f>
        <v>1.77777777777778E-007</v>
      </c>
      <c r="F7" s="34" t="n">
        <f aca="false">(Inputs!C18/SQRT(Inputs!B12))*(Inputs!C20/SQRT(Inputs!B12))*Inputs!F34</f>
        <v>6.42857142857143E-007</v>
      </c>
      <c r="G7" s="34" t="n">
        <f aca="false">(Inputs!C18/SQRT(Inputs!B12))*(Inputs!C21/SQRT(Inputs!B12))*Inputs!G34</f>
        <v>3.23809523809524E-007</v>
      </c>
      <c r="H7" s="34" t="n">
        <f aca="false">(Inputs!C18/SQRT(Inputs!B12))*(Inputs!C22/SQRT(Inputs!B12))*Inputs!H34</f>
        <v>7.37777777777778E-007</v>
      </c>
    </row>
    <row r="8" customFormat="false" ht="15" hidden="false" customHeight="true" outlineLevel="0" collapsed="false">
      <c r="A8" s="33" t="s">
        <v>58</v>
      </c>
      <c r="B8" s="34" t="n">
        <f aca="false">(Inputs!C19/SQRT(Inputs!B12))*(Inputs!C16/SQRT(Inputs!B12))*Inputs!B35</f>
        <v>0</v>
      </c>
      <c r="C8" s="34" t="n">
        <f aca="false">(Inputs!C19/SQRT(Inputs!B12))*(Inputs!C17/SQRT(Inputs!B12))*Inputs!C35</f>
        <v>2.44444444444444E-007</v>
      </c>
      <c r="D8" s="34" t="n">
        <f aca="false">(Inputs!C19/SQRT(Inputs!B12))*(Inputs!C18/SQRT(Inputs!B12))*Inputs!D35</f>
        <v>1.77777777777778E-007</v>
      </c>
      <c r="E8" s="34" t="n">
        <f aca="false">(Inputs!C19/SQRT(Inputs!B12))*(Inputs!C19/SQRT(Inputs!B12))*Inputs!E35</f>
        <v>1.24444444444444E-005</v>
      </c>
      <c r="F8" s="34" t="n">
        <f aca="false">(Inputs!C19/SQRT(Inputs!B12))*(Inputs!C20/SQRT(Inputs!B12))*Inputs!F35</f>
        <v>9E-006</v>
      </c>
      <c r="G8" s="34" t="n">
        <f aca="false">(Inputs!C19/SQRT(Inputs!B12))*(Inputs!C21/SQRT(Inputs!B12))*Inputs!G35</f>
        <v>3.77777777777778E-007</v>
      </c>
      <c r="H8" s="34" t="n">
        <f aca="false">(Inputs!C19/SQRT(Inputs!B12))*(Inputs!C22/SQRT(Inputs!B12))*Inputs!H35</f>
        <v>9.59111111111111E-006</v>
      </c>
    </row>
    <row r="9" customFormat="false" ht="15" hidden="false" customHeight="true" outlineLevel="0" collapsed="false">
      <c r="A9" s="33" t="s">
        <v>59</v>
      </c>
      <c r="B9" s="34" t="n">
        <f aca="false">(Inputs!C20/SQRT(Inputs!B12))*(Inputs!C16/SQRT(Inputs!B12))*Inputs!B36</f>
        <v>0</v>
      </c>
      <c r="C9" s="34" t="n">
        <f aca="false">(Inputs!C20/SQRT(Inputs!B12))*(Inputs!C17/SQRT(Inputs!B12))*Inputs!C36</f>
        <v>9.10714285714286E-007</v>
      </c>
      <c r="D9" s="34" t="n">
        <f aca="false">(Inputs!C20/SQRT(Inputs!B12))*(Inputs!C18/SQRT(Inputs!B12))*Inputs!D36</f>
        <v>6.42857142857143E-007</v>
      </c>
      <c r="E9" s="34" t="n">
        <f aca="false">(Inputs!C20/SQRT(Inputs!B12))*(Inputs!C19/SQRT(Inputs!B12))*Inputs!E36</f>
        <v>9E-006</v>
      </c>
      <c r="F9" s="34" t="n">
        <f aca="false">(Inputs!C20/SQRT(Inputs!B12))*(Inputs!C20/SQRT(Inputs!B12))*Inputs!F36</f>
        <v>7.23214285714286E-005</v>
      </c>
      <c r="G9" s="34" t="n">
        <f aca="false">(Inputs!C20/SQRT(Inputs!B12))*(Inputs!C21/SQRT(Inputs!B12))*Inputs!G36</f>
        <v>5.82857142857143E-005</v>
      </c>
      <c r="H9" s="34" t="n">
        <f aca="false">(Inputs!C20/SQRT(Inputs!B12))*(Inputs!C22/SQRT(Inputs!B12))*Inputs!H36</f>
        <v>3.91285714285714E-005</v>
      </c>
    </row>
    <row r="10" customFormat="false" ht="15" hidden="false" customHeight="true" outlineLevel="0" collapsed="false">
      <c r="A10" s="33" t="s">
        <v>60</v>
      </c>
      <c r="B10" s="34" t="n">
        <f aca="false">(Inputs!C21/SQRT(Inputs!B12))*(Inputs!C16/SQRT(Inputs!B12))*Inputs!B37</f>
        <v>0</v>
      </c>
      <c r="C10" s="34" t="n">
        <f aca="false">(Inputs!C21/SQRT(Inputs!B12))*(Inputs!C17/SQRT(Inputs!B12))*Inputs!C37</f>
        <v>1.34920634920635E-007</v>
      </c>
      <c r="D10" s="34" t="n">
        <f aca="false">(Inputs!C21/SQRT(Inputs!B12))*(Inputs!C18/SQRT(Inputs!B12))*Inputs!D37</f>
        <v>3.23809523809524E-007</v>
      </c>
      <c r="E10" s="34" t="n">
        <f aca="false">(Inputs!C21/SQRT(Inputs!B12))*(Inputs!C19/SQRT(Inputs!B12))*Inputs!E37</f>
        <v>3.77777777777778E-007</v>
      </c>
      <c r="F10" s="34" t="n">
        <f aca="false">(Inputs!C21/SQRT(Inputs!B12))*(Inputs!C20/SQRT(Inputs!B12))*Inputs!F37</f>
        <v>5.82857142857143E-005</v>
      </c>
      <c r="G10" s="34" t="n">
        <f aca="false">(Inputs!C21/SQRT(Inputs!B12))*(Inputs!C21/SQRT(Inputs!B12))*Inputs!G37</f>
        <v>0.00011468253968254</v>
      </c>
      <c r="H10" s="34" t="n">
        <f aca="false">(Inputs!C21/SQRT(Inputs!B12))*(Inputs!C22/SQRT(Inputs!B12))*Inputs!H37</f>
        <v>5.03928571428572E-005</v>
      </c>
    </row>
    <row r="11" customFormat="false" ht="15" hidden="false" customHeight="true" outlineLevel="0" collapsed="false">
      <c r="A11" s="33" t="s">
        <v>61</v>
      </c>
      <c r="B11" s="34" t="n">
        <f aca="false">(Inputs!C22/SQRT(Inputs!B12))*(Inputs!C16/SQRT(Inputs!B12))*Inputs!B38</f>
        <v>0</v>
      </c>
      <c r="C11" s="34" t="n">
        <f aca="false">(Inputs!C22/SQRT(Inputs!B12))*(Inputs!C17/SQRT(Inputs!B12))*Inputs!C38</f>
        <v>5.92857142857143E-007</v>
      </c>
      <c r="D11" s="34" t="n">
        <f aca="false">(Inputs!C22/SQRT(Inputs!B12))*(Inputs!C18/SQRT(Inputs!B12))*Inputs!D38</f>
        <v>7.37777777777778E-007</v>
      </c>
      <c r="E11" s="34" t="n">
        <f aca="false">(Inputs!C22/SQRT(Inputs!B12))*(Inputs!C19/SQRT(Inputs!B12))*Inputs!E38</f>
        <v>9.59111111111111E-006</v>
      </c>
      <c r="F11" s="34" t="n">
        <f aca="false">(Inputs!C22/SQRT(Inputs!B12))*(Inputs!C20/SQRT(Inputs!B12))*Inputs!F38</f>
        <v>3.91285714285714E-005</v>
      </c>
      <c r="G11" s="34" t="n">
        <f aca="false">(Inputs!C22/SQRT(Inputs!B12))*(Inputs!C21/SQRT(Inputs!B12))*Inputs!G38</f>
        <v>5.03928571428572E-005</v>
      </c>
      <c r="H11" s="34" t="n">
        <f aca="false">(Inputs!C22/SQRT(Inputs!B12))*(Inputs!C22/SQRT(Inputs!B12))*Inputs!H38</f>
        <v>0.000109349206349206</v>
      </c>
    </row>
    <row r="14" customFormat="false" ht="15" hidden="false" customHeight="true" outlineLevel="0" collapsed="false">
      <c r="A14" s="35" t="s">
        <v>64</v>
      </c>
      <c r="B14" s="36" t="s">
        <v>65</v>
      </c>
      <c r="C14" s="36" t="s">
        <v>66</v>
      </c>
      <c r="D14" s="36" t="s">
        <v>67</v>
      </c>
      <c r="E14" s="36" t="s">
        <v>68</v>
      </c>
      <c r="F14" s="36" t="s">
        <v>69</v>
      </c>
      <c r="G14" s="36" t="s">
        <v>70</v>
      </c>
    </row>
    <row r="15" customFormat="false" ht="15" hidden="false" customHeight="true" outlineLevel="0" collapsed="false">
      <c r="B15" s="37" t="n">
        <f aca="false">SUMPRODUCT(Dashboard!C6:C12,Calc!B5:B11)</f>
        <v>0</v>
      </c>
      <c r="C15" s="37" t="n">
        <f aca="false">SUMPRODUCT(Dashboard!D6:D12,Calc!B5:B11)</f>
        <v>0</v>
      </c>
      <c r="D15" s="37" t="n">
        <f aca="false">SUMPRODUCT(Dashboard!E6:E12,Calc!B5:B11)</f>
        <v>0</v>
      </c>
      <c r="E15" s="37" t="n">
        <f aca="false">SUMPRODUCT(Dashboard!F6:F12,Calc!B5:B11)</f>
        <v>0</v>
      </c>
      <c r="F15" s="37" t="n">
        <f aca="false">SUMPRODUCT(Dashboard!G6:G12,Calc!B5:B11)</f>
        <v>0</v>
      </c>
      <c r="G15" s="37" t="n">
        <f aca="false">SUMPRODUCT(Dashboard!H6:H12,Calc!B5:B11)</f>
        <v>0</v>
      </c>
    </row>
    <row r="16" customFormat="false" ht="15" hidden="false" customHeight="true" outlineLevel="0" collapsed="false">
      <c r="B16" s="37" t="n">
        <f aca="false">SUMPRODUCT(Dashboard!C6:C12,Calc!C5:C11)</f>
        <v>2.98184523809524E-007</v>
      </c>
      <c r="C16" s="37" t="n">
        <f aca="false">SUMPRODUCT(Dashboard!D6:D12,Calc!C5:C11)</f>
        <v>2.90407936507937E-007</v>
      </c>
      <c r="D16" s="37" t="n">
        <f aca="false">SUMPRODUCT(Dashboard!E6:E12,Calc!C5:C11)</f>
        <v>2.93303174603175E-007</v>
      </c>
      <c r="E16" s="37" t="n">
        <f aca="false">SUMPRODUCT(Dashboard!F6:F12,Calc!C5:C11)</f>
        <v>3.05636904761905E-007</v>
      </c>
      <c r="F16" s="37" t="n">
        <f aca="false">SUMPRODUCT(Dashboard!G6:G12,Calc!C5:C11)</f>
        <v>3.02853174603175E-007</v>
      </c>
      <c r="G16" s="37" t="n">
        <f aca="false">SUMPRODUCT(Dashboard!H6:H12,Calc!C5:C11)</f>
        <v>2.90407936507937E-007</v>
      </c>
    </row>
    <row r="17" customFormat="false" ht="15" hidden="false" customHeight="true" outlineLevel="0" collapsed="false">
      <c r="B17" s="37" t="n">
        <f aca="false">SUMPRODUCT(Dashboard!C6:C12,Calc!D5:D11)</f>
        <v>1.98163492063492E-007</v>
      </c>
      <c r="C17" s="37" t="n">
        <f aca="false">SUMPRODUCT(Dashboard!D6:D12,Calc!D5:D11)</f>
        <v>2.30378412698413E-007</v>
      </c>
      <c r="D17" s="37" t="n">
        <f aca="false">SUMPRODUCT(Dashboard!E6:E12,Calc!D5:D11)</f>
        <v>2.2672126984127E-007</v>
      </c>
      <c r="E17" s="37" t="n">
        <f aca="false">SUMPRODUCT(Dashboard!F6:F12,Calc!D5:D11)</f>
        <v>2.13934920634921E-007</v>
      </c>
      <c r="F17" s="37" t="n">
        <f aca="false">SUMPRODUCT(Dashboard!G6:G12,Calc!D5:D11)</f>
        <v>2.1924126984127E-007</v>
      </c>
      <c r="G17" s="37" t="n">
        <f aca="false">SUMPRODUCT(Dashboard!H6:H12,Calc!D5:D11)</f>
        <v>2.30378412698413E-007</v>
      </c>
    </row>
    <row r="18" customFormat="false" ht="15" hidden="false" customHeight="true" outlineLevel="0" collapsed="false">
      <c r="B18" s="37" t="n">
        <f aca="false">SUMPRODUCT(Dashboard!C6:C12,Calc!E5:E11)</f>
        <v>4.018E-007</v>
      </c>
      <c r="C18" s="37" t="n">
        <f aca="false">SUMPRODUCT(Dashboard!D6:D12,Calc!E5:E11)</f>
        <v>8.18817777777778E-007</v>
      </c>
      <c r="D18" s="37" t="n">
        <f aca="false">SUMPRODUCT(Dashboard!E6:E12,Calc!E5:E11)</f>
        <v>1.40761777777778E-006</v>
      </c>
      <c r="E18" s="37" t="n">
        <f aca="false">SUMPRODUCT(Dashboard!F6:F12,Calc!E5:E11)</f>
        <v>6.814E-007</v>
      </c>
      <c r="F18" s="37" t="n">
        <f aca="false">SUMPRODUCT(Dashboard!G6:G12,Calc!E5:E11)</f>
        <v>7.40688888888889E-007</v>
      </c>
      <c r="G18" s="37" t="n">
        <f aca="false">SUMPRODUCT(Dashboard!H6:H12,Calc!E5:E11)</f>
        <v>8.18817777777778E-007</v>
      </c>
    </row>
    <row r="19" customFormat="false" ht="15" hidden="false" customHeight="true" outlineLevel="0" collapsed="false">
      <c r="B19" s="37" t="n">
        <f aca="false">SUMPRODUCT(Dashboard!C6:C12,Calc!F5:F11)</f>
        <v>3.29335714285714E-006</v>
      </c>
      <c r="C19" s="37" t="n">
        <f aca="false">SUMPRODUCT(Dashboard!D6:D12,Calc!F5:F11)</f>
        <v>4.55052857142857E-006</v>
      </c>
      <c r="D19" s="37" t="n">
        <f aca="false">SUMPRODUCT(Dashboard!E6:E12,Calc!F5:F11)</f>
        <v>4.95167142857143E-006</v>
      </c>
      <c r="E19" s="37" t="n">
        <f aca="false">SUMPRODUCT(Dashboard!F6:F12,Calc!F5:F11)</f>
        <v>4.09564285714286E-006</v>
      </c>
      <c r="F19" s="37" t="n">
        <f aca="false">SUMPRODUCT(Dashboard!G6:G12,Calc!F5:F11)</f>
        <v>4.58748214285714E-006</v>
      </c>
      <c r="G19" s="37" t="n">
        <f aca="false">SUMPRODUCT(Dashboard!H6:H12,Calc!F5:F11)</f>
        <v>4.55052857142857E-006</v>
      </c>
    </row>
    <row r="20" customFormat="false" ht="15" hidden="false" customHeight="true" outlineLevel="0" collapsed="false">
      <c r="B20" s="37" t="n">
        <f aca="false">SUMPRODUCT(Dashboard!C6:C12,Calc!G5:G11)</f>
        <v>3.34738095238095E-006</v>
      </c>
      <c r="C20" s="37" t="n">
        <f aca="false">SUMPRODUCT(Dashboard!D6:D12,Calc!G5:G11)</f>
        <v>4.91672380952381E-006</v>
      </c>
      <c r="D20" s="37" t="n">
        <f aca="false">SUMPRODUCT(Dashboard!E6:E12,Calc!G5:G11)</f>
        <v>4.91931428571429E-006</v>
      </c>
      <c r="E20" s="37" t="n">
        <f aca="false">SUMPRODUCT(Dashboard!F6:F12,Calc!G5:G11)</f>
        <v>4.16783333333333E-006</v>
      </c>
      <c r="F20" s="37" t="n">
        <f aca="false">SUMPRODUCT(Dashboard!G6:G12,Calc!G5:G11)</f>
        <v>4.58055555555556E-006</v>
      </c>
      <c r="G20" s="37" t="n">
        <f aca="false">SUMPRODUCT(Dashboard!H6:H12,Calc!G5:G11)</f>
        <v>4.91672380952381E-006</v>
      </c>
    </row>
    <row r="21" customFormat="false" ht="15" hidden="false" customHeight="true" outlineLevel="0" collapsed="false">
      <c r="B21" s="37" t="n">
        <f aca="false">SUMPRODUCT(Dashboard!C6:C12,Calc!H5:H11)</f>
        <v>2.25601904761905E-006</v>
      </c>
      <c r="C21" s="37" t="n">
        <f aca="false">SUMPRODUCT(Dashboard!D6:D12,Calc!H5:H11)</f>
        <v>7.07968920634921E-006</v>
      </c>
      <c r="D21" s="37" t="n">
        <f aca="false">SUMPRODUCT(Dashboard!E6:E12,Calc!H5:H11)</f>
        <v>7.50464920634921E-006</v>
      </c>
      <c r="E21" s="37" t="n">
        <f aca="false">SUMPRODUCT(Dashboard!F6:F12,Calc!H5:H11)</f>
        <v>5.21990952380952E-006</v>
      </c>
      <c r="F21" s="37" t="n">
        <f aca="false">SUMPRODUCT(Dashboard!G6:G12,Calc!H5:H11)</f>
        <v>5.49400714285714E-006</v>
      </c>
      <c r="G21" s="37" t="n">
        <f aca="false">SUMPRODUCT(Dashboard!H6:H12,Calc!H5:H11)</f>
        <v>7.07968920634921E-006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14"/>
  </cols>
  <sheetData>
    <row r="1" customFormat="false" ht="30" hidden="false" customHeight="true" outlineLevel="0" collapsed="false">
      <c r="A1" s="38" t="s">
        <v>71</v>
      </c>
      <c r="B1" s="38"/>
      <c r="C1" s="38"/>
      <c r="D1" s="38"/>
      <c r="E1" s="38"/>
      <c r="F1" s="38"/>
      <c r="G1" s="38"/>
      <c r="H1" s="38"/>
    </row>
    <row r="2" customFormat="false" ht="15" hidden="false" customHeight="true" outlineLevel="0" collapsed="false">
      <c r="A2" s="39" t="s">
        <v>72</v>
      </c>
      <c r="B2" s="39"/>
      <c r="C2" s="39"/>
      <c r="D2" s="39"/>
      <c r="E2" s="39"/>
      <c r="F2" s="39"/>
      <c r="G2" s="39"/>
      <c r="H2" s="39"/>
    </row>
    <row r="4" customFormat="false" ht="19.5" hidden="false" customHeight="true" outlineLevel="0" collapsed="false">
      <c r="A4" s="40" t="s">
        <v>73</v>
      </c>
      <c r="B4" s="40"/>
      <c r="C4" s="40"/>
      <c r="D4" s="40"/>
      <c r="E4" s="40"/>
      <c r="F4" s="40"/>
      <c r="G4" s="40"/>
      <c r="H4" s="40"/>
      <c r="I4" s="40"/>
    </row>
    <row r="5" customFormat="false" ht="15" hidden="false" customHeight="true" outlineLevel="0" collapsed="false">
      <c r="A5" s="4" t="s">
        <v>22</v>
      </c>
      <c r="B5" s="4" t="s">
        <v>74</v>
      </c>
      <c r="C5" s="41" t="s">
        <v>65</v>
      </c>
      <c r="D5" s="26" t="s">
        <v>66</v>
      </c>
      <c r="E5" s="26" t="s">
        <v>67</v>
      </c>
      <c r="F5" s="26" t="s">
        <v>68</v>
      </c>
      <c r="G5" s="26" t="s">
        <v>69</v>
      </c>
      <c r="H5" s="42" t="s">
        <v>75</v>
      </c>
    </row>
    <row r="6" customFormat="false" ht="15" hidden="false" customHeight="true" outlineLevel="0" collapsed="false">
      <c r="A6" s="5" t="s">
        <v>30</v>
      </c>
      <c r="B6" s="43" t="n">
        <f aca="false">Inputs!E16</f>
        <v>0.002</v>
      </c>
      <c r="C6" s="44" t="n">
        <v>0.059</v>
      </c>
      <c r="D6" s="45" t="n">
        <v>0.052</v>
      </c>
      <c r="E6" s="45" t="n">
        <v>0.052</v>
      </c>
      <c r="F6" s="45" t="n">
        <v>0.059</v>
      </c>
      <c r="G6" s="45" t="n">
        <v>0.059</v>
      </c>
      <c r="H6" s="46" t="n">
        <v>0.052</v>
      </c>
    </row>
    <row r="7" customFormat="false" ht="15" hidden="false" customHeight="true" outlineLevel="0" collapsed="false">
      <c r="A7" s="5" t="s">
        <v>31</v>
      </c>
      <c r="B7" s="43" t="n">
        <f aca="false">Inputs!E17</f>
        <v>0.046</v>
      </c>
      <c r="C7" s="44" t="n">
        <v>0.554</v>
      </c>
      <c r="D7" s="45" t="n">
        <v>0.428</v>
      </c>
      <c r="E7" s="45" t="n">
        <v>0.428</v>
      </c>
      <c r="F7" s="45" t="n">
        <v>0.53</v>
      </c>
      <c r="G7" s="45" t="n">
        <v>0.493</v>
      </c>
      <c r="H7" s="46" t="n">
        <v>0.428</v>
      </c>
    </row>
    <row r="8" customFormat="false" ht="15" hidden="false" customHeight="true" outlineLevel="0" collapsed="false">
      <c r="A8" s="5" t="s">
        <v>34</v>
      </c>
      <c r="B8" s="43" t="n">
        <f aca="false">Inputs!E18</f>
        <v>0.0455</v>
      </c>
      <c r="C8" s="44" t="n">
        <v>0.3</v>
      </c>
      <c r="D8" s="45" t="n">
        <v>0.394</v>
      </c>
      <c r="E8" s="45" t="n">
        <v>0.346</v>
      </c>
      <c r="F8" s="45" t="n">
        <v>0.3</v>
      </c>
      <c r="G8" s="45" t="n">
        <v>0.33</v>
      </c>
      <c r="H8" s="46" t="n">
        <v>0.394</v>
      </c>
    </row>
    <row r="9" customFormat="false" ht="15" hidden="false" customHeight="true" outlineLevel="0" collapsed="false">
      <c r="A9" s="5" t="s">
        <v>35</v>
      </c>
      <c r="B9" s="43" t="n">
        <f aca="false">Inputs!E19</f>
        <v>0.059</v>
      </c>
      <c r="C9" s="44" t="n">
        <v>0</v>
      </c>
      <c r="D9" s="45" t="n">
        <v>0</v>
      </c>
      <c r="E9" s="45" t="n">
        <v>0.048</v>
      </c>
      <c r="F9" s="45" t="n">
        <v>0</v>
      </c>
      <c r="G9" s="45" t="n">
        <v>0</v>
      </c>
      <c r="H9" s="46" t="n">
        <v>0</v>
      </c>
    </row>
    <row r="10" customFormat="false" ht="15" hidden="false" customHeight="true" outlineLevel="0" collapsed="false">
      <c r="A10" s="5" t="s">
        <v>38</v>
      </c>
      <c r="B10" s="43" t="n">
        <f aca="false">Inputs!E20</f>
        <v>0.16</v>
      </c>
      <c r="C10" s="44" t="n">
        <v>0.023</v>
      </c>
      <c r="D10" s="45" t="n">
        <v>0.02</v>
      </c>
      <c r="E10" s="45" t="n">
        <v>0.02</v>
      </c>
      <c r="F10" s="45" t="n">
        <v>0.023</v>
      </c>
      <c r="G10" s="45" t="n">
        <v>0.03</v>
      </c>
      <c r="H10" s="46" t="n">
        <v>0.02</v>
      </c>
    </row>
    <row r="11" customFormat="false" ht="15" hidden="false" customHeight="true" outlineLevel="0" collapsed="false">
      <c r="A11" s="5" t="s">
        <v>40</v>
      </c>
      <c r="B11" s="43" t="n">
        <f aca="false">Inputs!E21</f>
        <v>0.18</v>
      </c>
      <c r="C11" s="44" t="n">
        <v>0.016</v>
      </c>
      <c r="D11" s="45" t="n">
        <v>0.01</v>
      </c>
      <c r="E11" s="45" t="n">
        <v>0.01</v>
      </c>
      <c r="F11" s="45" t="n">
        <v>0.01</v>
      </c>
      <c r="G11" s="45" t="n">
        <v>0.01</v>
      </c>
      <c r="H11" s="46" t="n">
        <v>0.01</v>
      </c>
    </row>
    <row r="12" customFormat="false" ht="15" hidden="false" customHeight="true" outlineLevel="0" collapsed="false">
      <c r="A12" s="5" t="s">
        <v>41</v>
      </c>
      <c r="B12" s="43" t="n">
        <f aca="false">Inputs!E22</f>
        <v>0.25</v>
      </c>
      <c r="C12" s="44" t="n">
        <v>0</v>
      </c>
      <c r="D12" s="45" t="n">
        <v>0.048</v>
      </c>
      <c r="E12" s="45" t="n">
        <v>0.048</v>
      </c>
      <c r="F12" s="45" t="n">
        <v>0.03</v>
      </c>
      <c r="G12" s="45" t="n">
        <v>0.03</v>
      </c>
      <c r="H12" s="46" t="n">
        <v>0.048</v>
      </c>
    </row>
    <row r="13" customFormat="false" ht="15" hidden="false" customHeight="true" outlineLevel="0" collapsed="false">
      <c r="A13" s="19" t="s">
        <v>76</v>
      </c>
      <c r="B13" s="20" t="s">
        <v>77</v>
      </c>
      <c r="C13" s="20" t="s">
        <v>78</v>
      </c>
      <c r="D13" s="20" t="s">
        <v>78</v>
      </c>
      <c r="E13" s="20" t="s">
        <v>78</v>
      </c>
      <c r="F13" s="20" t="s">
        <v>78</v>
      </c>
      <c r="G13" s="20" t="s">
        <v>78</v>
      </c>
      <c r="H13" s="20" t="s">
        <v>78</v>
      </c>
    </row>
    <row r="14" customFormat="false" ht="15" hidden="false" customHeight="true" outlineLevel="0" collapsed="false">
      <c r="A14" s="47" t="s">
        <v>79</v>
      </c>
      <c r="B14" s="48"/>
      <c r="C14" s="49" t="n">
        <f aca="false">SUM(C6:C12)</f>
        <v>0.952</v>
      </c>
      <c r="D14" s="50" t="n">
        <f aca="false">SUM(D6:D12)</f>
        <v>0.952</v>
      </c>
      <c r="E14" s="50" t="n">
        <f aca="false">SUM(E6:E12)</f>
        <v>0.952</v>
      </c>
      <c r="F14" s="50" t="n">
        <f aca="false">SUM(F6:F12)</f>
        <v>0.952</v>
      </c>
      <c r="G14" s="50" t="n">
        <f aca="false">SUM(G6:G12)</f>
        <v>0.952</v>
      </c>
      <c r="H14" s="51" t="n">
        <f aca="false">SUM(H6:H12)</f>
        <v>0.952</v>
      </c>
    </row>
    <row r="15" customFormat="false" ht="15" hidden="false" customHeight="true" outlineLevel="0" collapsed="false">
      <c r="H15" s="52" t="str">
        <f aca="false">IF(ABS(H14-0.952)&lt;0.002,"✓ 95.2% OK","⚠ Must = 95.2%")</f>
        <v>✓ 95.2% OK</v>
      </c>
    </row>
    <row r="17" customFormat="false" ht="19.5" hidden="false" customHeight="true" outlineLevel="0" collapsed="false">
      <c r="A17" s="3" t="s">
        <v>80</v>
      </c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true" outlineLevel="0" collapsed="false">
      <c r="A18" s="4" t="s">
        <v>81</v>
      </c>
      <c r="B18" s="4" t="s">
        <v>82</v>
      </c>
      <c r="C18" s="41" t="s">
        <v>65</v>
      </c>
      <c r="D18" s="26" t="s">
        <v>66</v>
      </c>
      <c r="E18" s="26" t="s">
        <v>67</v>
      </c>
      <c r="F18" s="26" t="s">
        <v>68</v>
      </c>
      <c r="G18" s="26" t="s">
        <v>69</v>
      </c>
      <c r="H18" s="42" t="s">
        <v>70</v>
      </c>
    </row>
    <row r="19" customFormat="false" ht="15" hidden="false" customHeight="true" outlineLevel="0" collapsed="false">
      <c r="A19" s="5" t="s">
        <v>83</v>
      </c>
      <c r="B19" s="7" t="s">
        <v>84</v>
      </c>
      <c r="C19" s="53" t="n">
        <f aca="false">SUMPRODUCT(C6:C12,Inputs!B16:B22)</f>
        <v>0.013891</v>
      </c>
      <c r="D19" s="54" t="n">
        <f aca="false">SUMPRODUCT(D6:D12,Inputs!B16:B22)</f>
        <v>0.016552</v>
      </c>
      <c r="E19" s="54" t="n">
        <f aca="false">SUMPRODUCT(E6:E12,Inputs!B16:B22)</f>
        <v>0.017368</v>
      </c>
      <c r="F19" s="54" t="n">
        <f aca="false">SUMPRODUCT(F6:F12,Inputs!B16:B22)</f>
        <v>0.015571</v>
      </c>
      <c r="G19" s="54" t="n">
        <f aca="false">SUMPRODUCT(G6:G12,Inputs!B16:B22)</f>
        <v>0.015886</v>
      </c>
      <c r="H19" s="55" t="n">
        <f aca="false">SUMPRODUCT(H6:H12,Inputs!B16:B22)</f>
        <v>0.016552</v>
      </c>
    </row>
    <row r="20" customFormat="false" ht="15" hidden="false" customHeight="true" outlineLevel="0" collapsed="false">
      <c r="A20" s="15" t="s">
        <v>85</v>
      </c>
      <c r="B20" s="7" t="s">
        <v>86</v>
      </c>
      <c r="C20" s="56" t="n">
        <f aca="false">SUMPRODUCT(Dashboard!C6:C12,Calc!B15:B21)</f>
        <v>3.53948583333333E-007</v>
      </c>
      <c r="D20" s="57" t="n">
        <f aca="false">SUMPRODUCT(Dashboard!D6:D12,Calc!C15:C21)</f>
        <v>6.95066582857143E-007</v>
      </c>
      <c r="E20" s="57" t="n">
        <f aca="false">SUMPRODUCT(Dashboard!E6:E12,Calc!D15:D21)</f>
        <v>7.79994704761905E-007</v>
      </c>
      <c r="F20" s="57" t="n">
        <f aca="false">SUMPRODUCT(Dashboard!F6:F12,Calc!E15:E21)</f>
        <v>5.18643440476191E-007</v>
      </c>
      <c r="G20" s="57" t="n">
        <f aca="false">SUMPRODUCT(Dashboard!G6:G12,Calc!F15:F21)</f>
        <v>5.69906468253968E-007</v>
      </c>
      <c r="H20" s="58" t="n">
        <f aca="false">SUMPRODUCT(H6:H12,Calc!G15:G21)</f>
        <v>6.95066582857143E-007</v>
      </c>
    </row>
    <row r="21" customFormat="false" ht="15" hidden="false" customHeight="true" outlineLevel="0" collapsed="false">
      <c r="A21" s="47" t="s">
        <v>87</v>
      </c>
      <c r="B21" s="7" t="s">
        <v>88</v>
      </c>
      <c r="C21" s="59" t="n">
        <f aca="false">SQRT(C20*Inputs!B12)</f>
        <v>0.00944431273306851</v>
      </c>
      <c r="D21" s="60" t="n">
        <f aca="false">SQRT(D20*Inputs!B12)</f>
        <v>0.0132346809134184</v>
      </c>
      <c r="E21" s="60" t="n">
        <f aca="false">SQRT(E20*Inputs!B12)</f>
        <v>0.01401993814537</v>
      </c>
      <c r="F21" s="60" t="n">
        <f aca="false">SQRT(F20*Inputs!B12)</f>
        <v>0.0114323290278053</v>
      </c>
      <c r="G21" s="60" t="n">
        <f aca="false">SQRT(G20*Inputs!B12)</f>
        <v>0.0119840072596774</v>
      </c>
      <c r="H21" s="55" t="n">
        <f aca="false">SQRT(H20*Inputs!B12)</f>
        <v>0.0132346809134184</v>
      </c>
    </row>
    <row r="22" customFormat="false" ht="15" hidden="false" customHeight="true" outlineLevel="0" collapsed="false">
      <c r="A22" s="5" t="s">
        <v>89</v>
      </c>
      <c r="B22" s="7" t="s">
        <v>90</v>
      </c>
      <c r="C22" s="61" t="n">
        <f aca="false">IF(C21&gt;0,(C19-Inputs!B9)/C21,0)</f>
        <v>0.147284406956318</v>
      </c>
      <c r="D22" s="62" t="n">
        <f aca="false">IF(D21&gt;0,(D19-Inputs!B9)/D21,0)</f>
        <v>0.306165296051208</v>
      </c>
      <c r="E22" s="62" t="n">
        <f aca="false">IF(E21&gt;0,(E19-Inputs!B9)/E21,0)</f>
        <v>0.347219791522949</v>
      </c>
      <c r="F22" s="62" t="n">
        <f aca="false">IF(F21&gt;0,(F19-Inputs!B9)/F21,0)</f>
        <v>0.268624179074169</v>
      </c>
      <c r="G22" s="62" t="n">
        <f aca="false">IF(G21&gt;0,(G19-Inputs!B9)/G21,0)</f>
        <v>0.282543220028987</v>
      </c>
      <c r="H22" s="63" t="n">
        <f aca="false">IF(H21&gt;0,(H19-Inputs!B9)/H21,0)</f>
        <v>0.306165296051208</v>
      </c>
    </row>
    <row r="23" customFormat="false" ht="15" hidden="false" customHeight="true" outlineLevel="0" collapsed="false">
      <c r="A23" s="5" t="s">
        <v>91</v>
      </c>
      <c r="B23" s="7" t="s">
        <v>92</v>
      </c>
      <c r="C23" s="53" t="n">
        <f aca="false">SUMPRODUCT(C6:C12,Inputs!E16:E22)</f>
        <v>0.045812</v>
      </c>
      <c r="D23" s="54" t="n">
        <f aca="false">SUMPRODUCT(D6:D12,Inputs!E16:E22)</f>
        <v>0.054719</v>
      </c>
      <c r="E23" s="54" t="n">
        <f aca="false">SUMPRODUCT(E6:E12,Inputs!E16:E22)</f>
        <v>0.055367</v>
      </c>
      <c r="F23" s="54" t="n">
        <f aca="false">SUMPRODUCT(F6:F12,Inputs!E16:E22)</f>
        <v>0.051128</v>
      </c>
      <c r="G23" s="54" t="n">
        <f aca="false">SUMPRODUCT(G6:G12,Inputs!E16:E22)</f>
        <v>0.051911</v>
      </c>
      <c r="H23" s="55" t="n">
        <f aca="false">SUMPRODUCT(H6:H12,Inputs!E16:E22)</f>
        <v>0.054719</v>
      </c>
    </row>
    <row r="24" customFormat="false" ht="15" hidden="false" customHeight="true" outlineLevel="0" collapsed="false">
      <c r="A24" s="47" t="s">
        <v>93</v>
      </c>
      <c r="B24" s="7" t="s">
        <v>94</v>
      </c>
      <c r="C24" s="64" t="n">
        <f aca="false">IF(C23&gt;0,C19/C23,0)</f>
        <v>0.303217497598882</v>
      </c>
      <c r="D24" s="65" t="n">
        <f aca="false">IF(D23&gt;0,D19/D23,0)</f>
        <v>0.302490908094081</v>
      </c>
      <c r="E24" s="65" t="n">
        <f aca="false">IF(E23&gt;0,E19/E23,0)</f>
        <v>0.313688659309697</v>
      </c>
      <c r="F24" s="65" t="n">
        <f aca="false">IF(F23&gt;0,F19/F23,0)</f>
        <v>0.304549366296354</v>
      </c>
      <c r="G24" s="65" t="n">
        <f aca="false">IF(G23&gt;0,G19/G23,0)</f>
        <v>0.30602377145499</v>
      </c>
      <c r="H24" s="63" t="n">
        <f aca="false">IF(H23&gt;0,H19/H23,0)</f>
        <v>0.302490908094081</v>
      </c>
    </row>
    <row r="25" customFormat="false" ht="15" hidden="false" customHeight="true" outlineLevel="0" collapsed="false">
      <c r="A25" s="5" t="s">
        <v>95</v>
      </c>
      <c r="B25" s="7" t="s">
        <v>96</v>
      </c>
      <c r="C25" s="66" t="n">
        <f aca="false">Inputs!B8+C23*Inputs!B5</f>
        <v>988.996</v>
      </c>
      <c r="D25" s="67" t="n">
        <f aca="false">Inputs!B8+D23*Inputs!B5</f>
        <v>1060.252</v>
      </c>
      <c r="E25" s="67" t="n">
        <f aca="false">Inputs!B8+E23*Inputs!B5</f>
        <v>1065.436</v>
      </c>
      <c r="F25" s="67" t="n">
        <f aca="false">Inputs!B8+F23*Inputs!B5</f>
        <v>1031.524</v>
      </c>
      <c r="G25" s="67" t="n">
        <f aca="false">Inputs!B8+G23*Inputs!B5</f>
        <v>1037.788</v>
      </c>
      <c r="H25" s="68" t="n">
        <f aca="false">Inputs!B8+H23*Inputs!B5</f>
        <v>1060.252</v>
      </c>
    </row>
    <row r="26" customFormat="false" ht="15" hidden="false" customHeight="true" outlineLevel="0" collapsed="false">
      <c r="A26" s="47" t="s">
        <v>97</v>
      </c>
      <c r="B26" s="7" t="s">
        <v>98</v>
      </c>
      <c r="C26" s="69" t="n">
        <f aca="false">Inputs!B7/C25</f>
        <v>2.1142653761997</v>
      </c>
      <c r="D26" s="70" t="n">
        <f aca="false">Inputs!B7/D25</f>
        <v>1.97217265329375</v>
      </c>
      <c r="E26" s="70" t="n">
        <f aca="false">Inputs!B7/E25</f>
        <v>1.96257682300955</v>
      </c>
      <c r="F26" s="70" t="n">
        <f aca="false">Inputs!B7/F25</f>
        <v>2.02709776990162</v>
      </c>
      <c r="G26" s="70" t="n">
        <f aca="false">Inputs!B7/G25</f>
        <v>2.01486238037056</v>
      </c>
      <c r="H26" s="51" t="n">
        <f aca="false">Inputs!B7/H25</f>
        <v>1.97217265329375</v>
      </c>
    </row>
    <row r="28" customFormat="false" ht="19.5" hidden="false" customHeight="true" outlineLevel="0" collapsed="false">
      <c r="A28" s="3" t="s">
        <v>99</v>
      </c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true" outlineLevel="0" collapsed="false">
      <c r="A29" s="4" t="s">
        <v>81</v>
      </c>
      <c r="B29" s="4" t="s">
        <v>100</v>
      </c>
      <c r="C29" s="41" t="s">
        <v>65</v>
      </c>
      <c r="D29" s="26" t="s">
        <v>66</v>
      </c>
      <c r="E29" s="26" t="s">
        <v>67</v>
      </c>
      <c r="F29" s="26" t="s">
        <v>68</v>
      </c>
      <c r="G29" s="26" t="s">
        <v>69</v>
      </c>
      <c r="H29" s="42" t="s">
        <v>70</v>
      </c>
    </row>
    <row r="30" customFormat="false" ht="15" hidden="false" customHeight="true" outlineLevel="0" collapsed="false">
      <c r="A30" s="5" t="s">
        <v>101</v>
      </c>
      <c r="B30" s="7" t="s">
        <v>102</v>
      </c>
      <c r="C30" s="53" t="n">
        <f aca="false">Inputs!B10*SQRT(C20)*SQRT(10)</f>
        <v>0.00484636308433173</v>
      </c>
      <c r="D30" s="54" t="n">
        <f aca="false">Inputs!B10*SQRT(D20)*SQRT(10)</f>
        <v>0.00679139613697025</v>
      </c>
      <c r="E30" s="54" t="n">
        <f aca="false">Inputs!B10*SQRT(E20)*SQRT(10)</f>
        <v>0.00719435205003629</v>
      </c>
      <c r="F30" s="54" t="n">
        <f aca="false">Inputs!B10*SQRT(F20)*SQRT(10)</f>
        <v>0.00586651659408659</v>
      </c>
      <c r="G30" s="54" t="n">
        <f aca="false">Inputs!B10*SQRT(G20)*SQRT(10)</f>
        <v>0.00614961109687795</v>
      </c>
      <c r="H30" s="71" t="n">
        <f aca="false">Inputs!B10*SQRT(H20)*SQRT(10)</f>
        <v>0.00679139613697025</v>
      </c>
    </row>
    <row r="31" customFormat="false" ht="15" hidden="false" customHeight="true" outlineLevel="0" collapsed="false">
      <c r="A31" s="47" t="s">
        <v>103</v>
      </c>
      <c r="B31" s="7" t="s">
        <v>104</v>
      </c>
      <c r="C31" s="72" t="n">
        <f aca="false">C30*Inputs!B5</f>
        <v>38.7709046746538</v>
      </c>
      <c r="D31" s="73" t="n">
        <f aca="false">D30*Inputs!B5</f>
        <v>54.331169095762</v>
      </c>
      <c r="E31" s="73" t="n">
        <f aca="false">E30*Inputs!B5</f>
        <v>57.5548164002903</v>
      </c>
      <c r="F31" s="73" t="n">
        <f aca="false">F30*Inputs!B5</f>
        <v>46.9321327526927</v>
      </c>
      <c r="G31" s="73" t="n">
        <f aca="false">G30*Inputs!B5</f>
        <v>49.1968887750236</v>
      </c>
      <c r="H31" s="74" t="n">
        <f aca="false">H30*Inputs!B5</f>
        <v>54.331169095762</v>
      </c>
    </row>
    <row r="32" customFormat="false" ht="15" hidden="false" customHeight="true" outlineLevel="0" collapsed="false">
      <c r="A32" s="15" t="s">
        <v>105</v>
      </c>
      <c r="B32" s="7" t="s">
        <v>106</v>
      </c>
      <c r="C32" s="75" t="n">
        <f aca="false">Inputs!B10*C21</f>
        <v>0.0243285496003845</v>
      </c>
      <c r="D32" s="76" t="n">
        <f aca="false">Inputs!B10*D21</f>
        <v>0.0340925380329657</v>
      </c>
      <c r="E32" s="76" t="n">
        <f aca="false">Inputs!B10*E21</f>
        <v>0.0361153606624731</v>
      </c>
      <c r="F32" s="76" t="n">
        <f aca="false">Inputs!B10*F21</f>
        <v>0.0294496795756265</v>
      </c>
      <c r="G32" s="76" t="n">
        <f aca="false">Inputs!B10*G21</f>
        <v>0.0308708027009289</v>
      </c>
      <c r="H32" s="77" t="n">
        <f aca="false">Inputs!B10*H21</f>
        <v>0.0340925380329657</v>
      </c>
    </row>
    <row r="33" customFormat="false" ht="15" hidden="false" customHeight="true" outlineLevel="0" collapsed="false">
      <c r="A33" s="15" t="s">
        <v>107</v>
      </c>
      <c r="B33" s="7" t="s">
        <v>108</v>
      </c>
      <c r="C33" s="78" t="n">
        <f aca="false">C32*Inputs!B5</f>
        <v>194.628396803076</v>
      </c>
      <c r="D33" s="79" t="n">
        <f aca="false">D32*Inputs!B5</f>
        <v>272.740304263725</v>
      </c>
      <c r="E33" s="79" t="n">
        <f aca="false">E32*Inputs!B5</f>
        <v>288.922885299784</v>
      </c>
      <c r="F33" s="79" t="n">
        <f aca="false">F32*Inputs!B5</f>
        <v>235.597436605012</v>
      </c>
      <c r="G33" s="79" t="n">
        <f aca="false">G32*Inputs!B5</f>
        <v>246.966421607431</v>
      </c>
      <c r="H33" s="80" t="n">
        <f aca="false">H32*Inputs!B5</f>
        <v>272.740304263725</v>
      </c>
    </row>
    <row r="34" customFormat="false" ht="15" hidden="false" customHeight="true" outlineLevel="0" collapsed="false">
      <c r="A34" s="47" t="s">
        <v>109</v>
      </c>
      <c r="B34" s="7" t="s">
        <v>110</v>
      </c>
      <c r="C34" s="81" t="n">
        <f aca="false">Inputs!B10*(Inputs!C19/SQRT(Inputs!B12))*SQRT(10)*C9*Inputs!B5+Inputs!B10*(Inputs!C20/SQRT(Inputs!B12))*SQRT(10)*C10*Inputs!B5+Inputs!B10*(Inputs!C21/SQRT(Inputs!B12))*SQRT(10)*C11*Inputs!B5+Inputs!B10*(Inputs!C22/SQRT(Inputs!B12))*SQRT(10)*C12*Inputs!B5</f>
        <v>23.9128591050459</v>
      </c>
      <c r="D34" s="82" t="n">
        <f aca="false">Inputs!B10*(Inputs!C19/SQRT(Inputs!B12))*SQRT(10)*D9*Inputs!B5+Inputs!B10*(Inputs!C20/SQRT(Inputs!B12))*SQRT(10)*D10*Inputs!B5+Inputs!B10*(Inputs!C21/SQRT(Inputs!B12))*SQRT(10)*D11*Inputs!B5+Inputs!B10*(Inputs!C22/SQRT(Inputs!B12))*SQRT(10)*D12*Inputs!B5</f>
        <v>50.7732603281044</v>
      </c>
      <c r="E34" s="82" t="n">
        <f aca="false">Inputs!B10*(Inputs!C19/SQRT(Inputs!B12))*SQRT(10)*E9*Inputs!B5+Inputs!B10*(Inputs!C20/SQRT(Inputs!B12))*SQRT(10)*E10*Inputs!B5+Inputs!B10*(Inputs!C21/SQRT(Inputs!B12))*SQRT(10)*E11*Inputs!B5+Inputs!B10*(Inputs!C22/SQRT(Inputs!B12))*SQRT(10)*E12*Inputs!B5</f>
        <v>61.8080698172655</v>
      </c>
      <c r="F34" s="82" t="n">
        <f aca="false">Inputs!B10*(Inputs!C19/SQRT(Inputs!B12))*SQRT(10)*F9*Inputs!B5+Inputs!B10*(Inputs!C20/SQRT(Inputs!B12))*SQRT(10)*F10*Inputs!B5+Inputs!B10*(Inputs!C21/SQRT(Inputs!B12))*SQRT(10)*F11*Inputs!B5+Inputs!B10*(Inputs!C22/SQRT(Inputs!B12))*SQRT(10)*F12*Inputs!B5</f>
        <v>40.1694980846136</v>
      </c>
      <c r="G34" s="82" t="n">
        <f aca="false">Inputs!B10*(Inputs!C19/SQRT(Inputs!B12))*SQRT(10)*G9*Inputs!B5+Inputs!B10*(Inputs!C20/SQRT(Inputs!B12))*SQRT(10)*G10*Inputs!B5+Inputs!B10*(Inputs!C21/SQRT(Inputs!B12))*SQRT(10)*G11*Inputs!B5+Inputs!B10*(Inputs!C22/SQRT(Inputs!B12))*SQRT(10)*G12*Inputs!B5</f>
        <v>44.0489232956468</v>
      </c>
      <c r="H34" s="74" t="n">
        <f aca="false">Inputs!B10*(Inputs!C19/SQRT(Inputs!B12))*SQRT(10)*H9*Inputs!B5+Inputs!B10*(Inputs!C20/SQRT(Inputs!B12))*SQRT(10)*H10*Inputs!B5+Inputs!B10*(Inputs!C21/SQRT(Inputs!B12))*SQRT(10)*H11*Inputs!B5+Inputs!B10*(Inputs!C22/SQRT(Inputs!B12))*SQRT(10)*H12*Inputs!B5</f>
        <v>50.7732603281044</v>
      </c>
    </row>
    <row r="35" customFormat="false" ht="15" hidden="false" customHeight="true" outlineLevel="0" collapsed="false">
      <c r="A35" s="47" t="s">
        <v>111</v>
      </c>
      <c r="B35" s="7" t="s">
        <v>112</v>
      </c>
      <c r="C35" s="83" t="n">
        <f aca="false">Inputs!B27*Inputs!B10*(Inputs!D27/SQRT(Inputs!B12))*SQRT(10)*C7*Inputs!B5+Inputs!B28*Inputs!B10*(Inputs!D28/SQRT(Inputs!B12))*SQRT(10)*C8*Inputs!B5</f>
        <v>50.7896811755585</v>
      </c>
      <c r="D35" s="84" t="n">
        <f aca="false">Inputs!B27*Inputs!B10*(Inputs!D27/SQRT(Inputs!B12))*SQRT(10)*D7*Inputs!B5+Inputs!B28*Inputs!B10*(Inputs!D28/SQRT(Inputs!B12))*SQRT(10)*D8*Inputs!B5</f>
        <v>44.5661799904513</v>
      </c>
      <c r="E35" s="84" t="n">
        <f aca="false">Inputs!B27*Inputs!B10*(Inputs!D27/SQRT(Inputs!B12))*SQRT(10)*E7*Inputs!B5+Inputs!B28*Inputs!B10*(Inputs!D28/SQRT(Inputs!B12))*SQRT(10)*E8*Inputs!B5</f>
        <v>42.9897786348568</v>
      </c>
      <c r="F35" s="84" t="n">
        <f aca="false">Inputs!B27*Inputs!B10*(Inputs!D27/SQRT(Inputs!B12))*SQRT(10)*F7*Inputs!B5+Inputs!B28*Inputs!B10*(Inputs!D28/SQRT(Inputs!B12))*SQRT(10)*F8*Inputs!B5</f>
        <v>49.0162296505147</v>
      </c>
      <c r="G35" s="84" t="n">
        <f aca="false">Inputs!B27*Inputs!B10*(Inputs!D27/SQRT(Inputs!B12))*SQRT(10)*G7*Inputs!B5+Inputs!B28*Inputs!B10*(Inputs!D28/SQRT(Inputs!B12))*SQRT(10)*G8*Inputs!B5</f>
        <v>47.2674093966521</v>
      </c>
      <c r="H35" s="74" t="n">
        <f aca="false">Inputs!B27*Inputs!B10*(Inputs!D27/SQRT(Inputs!B12))*SQRT(10)*H7*Inputs!B5+Inputs!B28*Inputs!B10*(Inputs!D28/SQRT(Inputs!B12))*SQRT(10)*H8*Inputs!B5</f>
        <v>44.5661799904513</v>
      </c>
    </row>
    <row r="36" customFormat="false" ht="21.75" hidden="false" customHeight="true" outlineLevel="0" collapsed="false">
      <c r="A36" s="85" t="s">
        <v>113</v>
      </c>
      <c r="B36" s="85"/>
      <c r="C36" s="85"/>
      <c r="D36" s="85"/>
      <c r="E36" s="85"/>
      <c r="F36" s="85"/>
      <c r="G36" s="85"/>
      <c r="H36" s="85"/>
      <c r="I36" s="85"/>
    </row>
    <row r="38" customFormat="false" ht="19.5" hidden="false" customHeight="true" outlineLevel="0" collapsed="false">
      <c r="A38" s="13" t="s">
        <v>114</v>
      </c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true" outlineLevel="0" collapsed="false">
      <c r="A39" s="4" t="s">
        <v>115</v>
      </c>
      <c r="B39" s="4" t="s">
        <v>100</v>
      </c>
      <c r="C39" s="41" t="s">
        <v>65</v>
      </c>
      <c r="D39" s="26" t="s">
        <v>66</v>
      </c>
      <c r="E39" s="26" t="s">
        <v>67</v>
      </c>
      <c r="F39" s="26" t="s">
        <v>68</v>
      </c>
      <c r="G39" s="26" t="s">
        <v>69</v>
      </c>
      <c r="H39" s="42" t="s">
        <v>70</v>
      </c>
    </row>
    <row r="40" customFormat="false" ht="15" hidden="false" customHeight="true" outlineLevel="0" collapsed="false">
      <c r="A40" s="47" t="s">
        <v>116</v>
      </c>
      <c r="B40" s="7" t="s">
        <v>117</v>
      </c>
      <c r="C40" s="86" t="n">
        <f aca="false">Inputs!B7</f>
        <v>2091</v>
      </c>
      <c r="D40" s="87" t="n">
        <f aca="false">Inputs!B7</f>
        <v>2091</v>
      </c>
      <c r="E40" s="87" t="n">
        <f aca="false">Inputs!B7</f>
        <v>2091</v>
      </c>
      <c r="F40" s="87" t="n">
        <f aca="false">Inputs!B7</f>
        <v>2091</v>
      </c>
      <c r="G40" s="87" t="n">
        <f aca="false">Inputs!B7</f>
        <v>2091</v>
      </c>
      <c r="H40" s="88" t="n">
        <f aca="false">Inputs!B7</f>
        <v>2091</v>
      </c>
    </row>
    <row r="41" customFormat="false" ht="15" hidden="false" customHeight="true" outlineLevel="0" collapsed="false">
      <c r="A41" s="5" t="s">
        <v>118</v>
      </c>
      <c r="B41" s="7" t="s">
        <v>119</v>
      </c>
      <c r="C41" s="89" t="n">
        <f aca="false">C31</f>
        <v>38.7709046746538</v>
      </c>
      <c r="D41" s="90" t="n">
        <f aca="false">D31</f>
        <v>54.331169095762</v>
      </c>
      <c r="E41" s="90" t="n">
        <f aca="false">E31</f>
        <v>57.5548164002903</v>
      </c>
      <c r="F41" s="90" t="n">
        <f aca="false">F31</f>
        <v>46.9321327526927</v>
      </c>
      <c r="G41" s="90" t="n">
        <f aca="false">G31</f>
        <v>49.1968887750236</v>
      </c>
      <c r="H41" s="80" t="n">
        <f aca="false">H31</f>
        <v>54.331169095762</v>
      </c>
    </row>
    <row r="42" customFormat="false" ht="15" hidden="false" customHeight="true" outlineLevel="0" collapsed="false">
      <c r="A42" s="47" t="s">
        <v>120</v>
      </c>
      <c r="B42" s="7" t="s">
        <v>121</v>
      </c>
      <c r="C42" s="91" t="n">
        <f aca="false">C40-C41</f>
        <v>2052.22909532535</v>
      </c>
      <c r="D42" s="92" t="n">
        <f aca="false">D40-D41</f>
        <v>2036.66883090424</v>
      </c>
      <c r="E42" s="92" t="n">
        <f aca="false">E40-E41</f>
        <v>2033.44518359971</v>
      </c>
      <c r="F42" s="92" t="n">
        <f aca="false">F40-F41</f>
        <v>2044.06786724731</v>
      </c>
      <c r="G42" s="92" t="n">
        <f aca="false">G40-G41</f>
        <v>2041.80311122498</v>
      </c>
      <c r="H42" s="74" t="n">
        <f aca="false">H40-H41</f>
        <v>2036.66883090424</v>
      </c>
    </row>
    <row r="43" customFormat="false" ht="15" hidden="false" customHeight="true" outlineLevel="0" collapsed="false">
      <c r="A43" s="5" t="s">
        <v>95</v>
      </c>
      <c r="B43" s="7" t="s">
        <v>96</v>
      </c>
      <c r="C43" s="66" t="n">
        <f aca="false">C25</f>
        <v>988.996</v>
      </c>
      <c r="D43" s="67" t="n">
        <f aca="false">D25</f>
        <v>1060.252</v>
      </c>
      <c r="E43" s="67" t="n">
        <f aca="false">E25</f>
        <v>1065.436</v>
      </c>
      <c r="F43" s="67" t="n">
        <f aca="false">F25</f>
        <v>1031.524</v>
      </c>
      <c r="G43" s="67" t="n">
        <f aca="false">G25</f>
        <v>1037.788</v>
      </c>
      <c r="H43" s="88" t="n">
        <f aca="false">H25</f>
        <v>1060.252</v>
      </c>
    </row>
    <row r="44" customFormat="false" ht="15" hidden="false" customHeight="true" outlineLevel="0" collapsed="false">
      <c r="A44" s="5" t="s">
        <v>122</v>
      </c>
      <c r="B44" s="7" t="s">
        <v>123</v>
      </c>
      <c r="C44" s="93" t="n">
        <f aca="false">(Inputs!B10*(Inputs!C16/SQRT(Inputs!B12))*SQRT(10)*C6*Inputs!B5)*Inputs!E16+(Inputs!B10*(Inputs!C17/SQRT(Inputs!B12))*SQRT(10)*C7*Inputs!B5)*Inputs!E17+(Inputs!B10*(Inputs!C18/SQRT(Inputs!B12))*SQRT(10)*C8*Inputs!B5)*Inputs!E18+(Inputs!B10*(Inputs!C19/SQRT(Inputs!B12))*SQRT(10)*C9*Inputs!B5)*Inputs!E19+(Inputs!B10*(Inputs!C20/SQRT(Inputs!B12))*SQRT(10)*C10*Inputs!B5)*Inputs!E20+(Inputs!B10*(Inputs!C21/SQRT(Inputs!B12))*SQRT(10)*C11*Inputs!B5)*Inputs!E21+(Inputs!B10*(Inputs!C22/SQRT(Inputs!B12))*SQRT(10)*C12*Inputs!B5)*Inputs!E22</f>
        <v>5.54384230898167</v>
      </c>
      <c r="D44" s="94" t="n">
        <f aca="false">(Inputs!B10*(Inputs!C16/SQRT(Inputs!B12))*SQRT(10)*D6*Inputs!B5)*Inputs!E16+(Inputs!B10*(Inputs!C17/SQRT(Inputs!B12))*SQRT(10)*D7*Inputs!B5)*Inputs!E17+(Inputs!B10*(Inputs!C18/SQRT(Inputs!B12))*SQRT(10)*D8*Inputs!B5)*Inputs!E18+(Inputs!B10*(Inputs!C19/SQRT(Inputs!B12))*SQRT(10)*D9*Inputs!B5)*Inputs!E19+(Inputs!B10*(Inputs!C20/SQRT(Inputs!B12))*SQRT(10)*D10*Inputs!B5)*Inputs!E20+(Inputs!B10*(Inputs!C21/SQRT(Inputs!B12))*SQRT(10)*D11*Inputs!B5)*Inputs!E21+(Inputs!B10*(Inputs!C22/SQRT(Inputs!B12))*SQRT(10)*D12*Inputs!B5)*Inputs!E22</f>
        <v>12.6042155637401</v>
      </c>
      <c r="E44" s="94" t="n">
        <f aca="false">(Inputs!B10*(Inputs!C16/SQRT(Inputs!B12))*SQRT(10)*E6*Inputs!B5)*Inputs!E16+(Inputs!B10*(Inputs!C17/SQRT(Inputs!B12))*SQRT(10)*E7*Inputs!B5)*Inputs!E17+(Inputs!B10*(Inputs!C18/SQRT(Inputs!B12))*SQRT(10)*E8*Inputs!B5)*Inputs!E18+(Inputs!B10*(Inputs!C19/SQRT(Inputs!B12))*SQRT(10)*E9*Inputs!B5)*Inputs!E19+(Inputs!B10*(Inputs!C20/SQRT(Inputs!B12))*SQRT(10)*E10*Inputs!B5)*Inputs!E20+(Inputs!B10*(Inputs!C21/SQRT(Inputs!B12))*SQRT(10)*E11*Inputs!B5)*Inputs!E21+(Inputs!B10*(Inputs!C22/SQRT(Inputs!B12))*SQRT(10)*E12*Inputs!B5)*Inputs!E22</f>
        <v>13.1835430619211</v>
      </c>
      <c r="F44" s="94" t="n">
        <f aca="false">(Inputs!B10*(Inputs!C16/SQRT(Inputs!B12))*SQRT(10)*F6*Inputs!B5)*Inputs!E16+(Inputs!B10*(Inputs!C17/SQRT(Inputs!B12))*SQRT(10)*F7*Inputs!B5)*Inputs!E17+(Inputs!B10*(Inputs!C18/SQRT(Inputs!B12))*SQRT(10)*F8*Inputs!B5)*Inputs!E18+(Inputs!B10*(Inputs!C19/SQRT(Inputs!B12))*SQRT(10)*F9*Inputs!B5)*Inputs!E19+(Inputs!B10*(Inputs!C20/SQRT(Inputs!B12))*SQRT(10)*F10*Inputs!B5)*Inputs!E20+(Inputs!B10*(Inputs!C21/SQRT(Inputs!B12))*SQRT(10)*F11*Inputs!B5)*Inputs!E21+(Inputs!B10*(Inputs!C22/SQRT(Inputs!B12))*SQRT(10)*F12*Inputs!B5)*Inputs!E22</f>
        <v>9.8557926419561</v>
      </c>
      <c r="G44" s="94" t="n">
        <f aca="false">(Inputs!B10*(Inputs!C16/SQRT(Inputs!B12))*SQRT(10)*G6*Inputs!B5)*Inputs!E16+(Inputs!B10*(Inputs!C17/SQRT(Inputs!B12))*SQRT(10)*G7*Inputs!B5)*Inputs!E17+(Inputs!B10*(Inputs!C18/SQRT(Inputs!B12))*SQRT(10)*G8*Inputs!B5)*Inputs!E18+(Inputs!B10*(Inputs!C19/SQRT(Inputs!B12))*SQRT(10)*G9*Inputs!B5)*Inputs!E19+(Inputs!B10*(Inputs!C20/SQRT(Inputs!B12))*SQRT(10)*G10*Inputs!B5)*Inputs!E20+(Inputs!B10*(Inputs!C21/SQRT(Inputs!B12))*SQRT(10)*G11*Inputs!B5)*Inputs!E21+(Inputs!B10*(Inputs!C22/SQRT(Inputs!B12))*SQRT(10)*G12*Inputs!B5)*Inputs!E22</f>
        <v>10.4514588833539</v>
      </c>
      <c r="H44" s="95" t="n">
        <f aca="false">(Inputs!B10*(Inputs!C16/SQRT(Inputs!B12))*SQRT(10)*H6*Inputs!B5)*Inputs!E16+(Inputs!B10*(Inputs!C17/SQRT(Inputs!B12))*SQRT(10)*H7*Inputs!B5)*Inputs!E17+(Inputs!B10*(Inputs!C18/SQRT(Inputs!B12))*SQRT(10)*H8*Inputs!B5)*Inputs!E18+(Inputs!B10*(Inputs!C19/SQRT(Inputs!B12))*SQRT(10)*H9*Inputs!B5)*Inputs!E19+(Inputs!B10*(Inputs!C20/SQRT(Inputs!B12))*SQRT(10)*H10*Inputs!B5)*Inputs!E20+(Inputs!B10*(Inputs!C21/SQRT(Inputs!B12))*SQRT(10)*H11*Inputs!B5)*Inputs!E21+(Inputs!B10*(Inputs!C22/SQRT(Inputs!B12))*SQRT(10)*H12*Inputs!B5)*Inputs!E22</f>
        <v>12.6042155637401</v>
      </c>
    </row>
    <row r="45" customFormat="false" ht="15" hidden="false" customHeight="true" outlineLevel="0" collapsed="false">
      <c r="A45" s="47" t="s">
        <v>124</v>
      </c>
      <c r="B45" s="7" t="s">
        <v>125</v>
      </c>
      <c r="C45" s="83" t="n">
        <f aca="false">C43-C44</f>
        <v>983.452157691018</v>
      </c>
      <c r="D45" s="73" t="n">
        <f aca="false">D43-D44</f>
        <v>1047.64778443626</v>
      </c>
      <c r="E45" s="73" t="n">
        <f aca="false">E43-E44</f>
        <v>1052.25245693808</v>
      </c>
      <c r="F45" s="73" t="n">
        <f aca="false">F43-F44</f>
        <v>1021.66820735804</v>
      </c>
      <c r="G45" s="73" t="n">
        <f aca="false">G43-G44</f>
        <v>1027.33654111665</v>
      </c>
      <c r="H45" s="74" t="n">
        <f aca="false">H43-H44</f>
        <v>1047.64778443626</v>
      </c>
    </row>
    <row r="46" customFormat="false" ht="15" hidden="false" customHeight="true" outlineLevel="0" collapsed="false">
      <c r="A46" s="47" t="s">
        <v>97</v>
      </c>
      <c r="B46" s="7" t="s">
        <v>98</v>
      </c>
      <c r="C46" s="69" t="n">
        <f aca="false">C26</f>
        <v>2.1142653761997</v>
      </c>
      <c r="D46" s="96" t="n">
        <f aca="false">D26</f>
        <v>1.97217265329375</v>
      </c>
      <c r="E46" s="96" t="n">
        <f aca="false">E26</f>
        <v>1.96257682300955</v>
      </c>
      <c r="F46" s="96" t="n">
        <f aca="false">F26</f>
        <v>2.02709776990162</v>
      </c>
      <c r="G46" s="96" t="n">
        <f aca="false">G26</f>
        <v>2.01486238037056</v>
      </c>
      <c r="H46" s="51" t="n">
        <f aca="false">H26</f>
        <v>1.97217265329375</v>
      </c>
    </row>
    <row r="47" customFormat="false" ht="15" hidden="false" customHeight="true" outlineLevel="0" collapsed="false">
      <c r="A47" s="47" t="s">
        <v>126</v>
      </c>
      <c r="B47" s="7" t="s">
        <v>127</v>
      </c>
      <c r="C47" s="97" t="n">
        <f aca="false">C42/C45</f>
        <v>2.08676047866287</v>
      </c>
      <c r="D47" s="51" t="n">
        <f aca="false">D42/D45</f>
        <v>1.94403964878346</v>
      </c>
      <c r="E47" s="51" t="n">
        <f aca="false">E42/E45</f>
        <v>1.93246893384956</v>
      </c>
      <c r="F47" s="97" t="n">
        <f aca="false">F42/F45</f>
        <v>2.00071593940768</v>
      </c>
      <c r="G47" s="51" t="n">
        <f aca="false">G42/G45</f>
        <v>1.98747248784286</v>
      </c>
      <c r="H47" s="98" t="n">
        <f aca="false">H42/H45</f>
        <v>1.94403964878346</v>
      </c>
    </row>
    <row r="48" customFormat="false" ht="15" hidden="false" customHeight="true" outlineLevel="0" collapsed="false">
      <c r="A48" s="47" t="s">
        <v>128</v>
      </c>
      <c r="B48" s="7" t="s">
        <v>129</v>
      </c>
      <c r="C48" s="99" t="n">
        <f aca="false">C47-211.4%</f>
        <v>-0.0272395213371257</v>
      </c>
      <c r="D48" s="100" t="n">
        <f aca="false">D47-211.4%</f>
        <v>-0.169960351216538</v>
      </c>
      <c r="E48" s="100" t="n">
        <f aca="false">E47-211.4%</f>
        <v>-0.18153106615044</v>
      </c>
      <c r="F48" s="101" t="n">
        <f aca="false">F47-211.4%</f>
        <v>-0.113284060592322</v>
      </c>
      <c r="G48" s="101" t="n">
        <f aca="false">G47-211.4%</f>
        <v>-0.126527512157143</v>
      </c>
      <c r="H48" s="102" t="n">
        <f aca="false">H47-211.4%</f>
        <v>-0.169960351216538</v>
      </c>
    </row>
    <row r="49" customFormat="false" ht="21.75" hidden="false" customHeight="true" outlineLevel="0" collapsed="false">
      <c r="A49" s="103" t="s">
        <v>130</v>
      </c>
      <c r="B49" s="103"/>
      <c r="C49" s="103"/>
      <c r="D49" s="103"/>
      <c r="E49" s="103"/>
      <c r="F49" s="103"/>
      <c r="G49" s="103"/>
      <c r="H49" s="103"/>
      <c r="I49" s="103"/>
    </row>
  </sheetData>
  <mergeCells count="8">
    <mergeCell ref="A1:H1"/>
    <mergeCell ref="A2:H2"/>
    <mergeCell ref="A4:I4"/>
    <mergeCell ref="A17:I17"/>
    <mergeCell ref="A28:I28"/>
    <mergeCell ref="A36:I36"/>
    <mergeCell ref="A38:I38"/>
    <mergeCell ref="A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2026-04-08T07:45:26Z</dcterms:created>
  <dc:creator>openpyxl</dc:creator>
  <dc:description/>
  <dc:language>en-US</dc:language>
  <cp:lastModifiedBy/>
  <dcterms:modified xsi:type="dcterms:W3CDTF">2026-04-08T07:47:18Z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