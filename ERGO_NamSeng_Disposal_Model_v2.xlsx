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nalysis" sheetId="2" state="visible" r:id="rId4"/>
    <sheet name="Donation No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<sst xmlns="http://schemas.openxmlformats.org/spreadsheetml/2006/main" count="201" uniqueCount="146">
  <si>
    <t xml:space="preserve">ERGO Thailand — Namsing Building Disposal Model</t>
  </si>
  <si>
    <t xml:space="preserve">Input Assumptions — edit YELLOW cells only  |  Blue = hardcoded input  |  Black = formula</t>
  </si>
  <si>
    <t xml:space="preserve">Parameter</t>
  </si>
  <si>
    <t xml:space="preserve">Value</t>
  </si>
  <si>
    <t xml:space="preserve">Unit / Notes</t>
  </si>
  <si>
    <t xml:space="preserve">1. ASSET BOOK VALUES (YE 2025)</t>
  </si>
  <si>
    <t xml:space="preserve">  BV — IFRS (YE2025)</t>
  </si>
  <si>
    <t xml:space="preserve">THB — IFRS carrying value; base for P&amp;L</t>
  </si>
  <si>
    <t xml:space="preserve">  BV — TFRS / Net Fair Value (YE2025)</t>
  </si>
  <si>
    <t xml:space="preserve">THB — used for CAR / TCA calculation</t>
  </si>
  <si>
    <t xml:space="preserve">  Annual Depreciation — IFRS</t>
  </si>
  <si>
    <t xml:space="preserve">THB/yr — ~50yr useful life</t>
  </si>
  <si>
    <t xml:space="preserve">  Annual Depreciation — TFRS</t>
  </si>
  <si>
    <t xml:space="preserve">THB/yr — ~21.6yr useful life</t>
  </si>
  <si>
    <t xml:space="preserve">2. CAPITAL ADEQUACY (CAR)</t>
  </si>
  <si>
    <t xml:space="preserve">  TCA — Total Capital Available</t>
  </si>
  <si>
    <t xml:space="preserve">THB M — from latest OIC filing</t>
  </si>
  <si>
    <t xml:space="preserve">  TCR — Total Capital Required</t>
  </si>
  <si>
    <t xml:space="preserve">  Current Risk Charge (property)</t>
  </si>
  <si>
    <t xml:space="preserve">THB — removed from TCR on disposal</t>
  </si>
  <si>
    <t xml:space="preserve">  New TCR after disposal (derived)</t>
  </si>
  <si>
    <t xml:space="preserve">THB M — fixed after disposal</t>
  </si>
  <si>
    <t xml:space="preserve">3. TRANSFER FEE INPUTS</t>
  </si>
  <si>
    <t xml:space="preserve">  Land area (sq. wah)</t>
  </si>
  <si>
    <t xml:space="preserve">sq. wah — fixed</t>
  </si>
  <si>
    <t xml:space="preserve">  Land price/sq.wah — pre-2027</t>
  </si>
  <si>
    <t xml:space="preserve">THB/sq.wah — current official appraisal</t>
  </si>
  <si>
    <t xml:space="preserve">  Land price/sq.wah — 2027+</t>
  </si>
  <si>
    <t xml:space="preserve">THB/sq.wah — UPDATE when new appraisal published</t>
  </si>
  <si>
    <t xml:space="preserve">  Building area (sq.m.)</t>
  </si>
  <si>
    <t xml:space="preserve">sq.m. — fixed</t>
  </si>
  <si>
    <t xml:space="preserve">  Building price/sq.m. — pre-2027</t>
  </si>
  <si>
    <t xml:space="preserve">THB/sq.m. — current official appraisal</t>
  </si>
  <si>
    <t xml:space="preserve">  Building price/sq.m. — 2027+</t>
  </si>
  <si>
    <t xml:space="preserve">THB/sq.m. — UPDATE when new appraisal published</t>
  </si>
  <si>
    <t xml:space="preserve">  Building dep. rate (% p.a.)</t>
  </si>
  <si>
    <t xml:space="preserve">2% p.a. — Revenue Dept standard</t>
  </si>
  <si>
    <t xml:space="preserve">  Building age at year 2026 (yrs)</t>
  </si>
  <si>
    <t xml:space="preserve">years — used to derive remaining value</t>
  </si>
  <si>
    <t xml:space="preserve">  Transfer fee rate</t>
  </si>
  <si>
    <t xml:space="preserve">2% of total appraisal value — fixed by law</t>
  </si>
  <si>
    <t xml:space="preserve">  → Land appraisal (pre-2027)</t>
  </si>
  <si>
    <t xml:space="preserve">Derived: land area x land price per sq.wah (pre-2027)</t>
  </si>
  <si>
    <t xml:space="preserve">  → Land appraisal (2027+)</t>
  </si>
  <si>
    <t xml:space="preserve">Derived: land area x new land price per sq.wah (2027+)</t>
  </si>
  <si>
    <t xml:space="preserve">  → Building full appraisal value</t>
  </si>
  <si>
    <t xml:space="preserve">Derived: building area x building price per sq.m. (pre-2027 rate)</t>
  </si>
  <si>
    <t xml:space="preserve">4. OTHER TRANSACTION COSTS</t>
  </si>
  <si>
    <t xml:space="preserve">  Specific Business Tax (SBT)</t>
  </si>
  <si>
    <t xml:space="preserve">3.3% of selling price — fixed</t>
  </si>
  <si>
    <t xml:space="preserve">  Commission rate</t>
  </si>
  <si>
    <t xml:space="preserve">3.0% of selling price — ADJUSTABLE</t>
  </si>
  <si>
    <t xml:space="preserve">5. SELLING PRICE SCENARIOS (THB)</t>
  </si>
  <si>
    <t xml:space="preserve">  S1 — 665M (High)</t>
  </si>
  <si>
    <t xml:space="preserve">THB — edit as needed</t>
  </si>
  <si>
    <t xml:space="preserve">  S2 — 618M (≈ BV IFRS)</t>
  </si>
  <si>
    <t xml:space="preserve">  S3 — 550M</t>
  </si>
  <si>
    <t xml:space="preserve">  S4 — 450M</t>
  </si>
  <si>
    <t xml:space="preserve">  S5 — 400M</t>
  </si>
  <si>
    <t xml:space="preserve">  S6 — 300M (Low)</t>
  </si>
  <si>
    <t xml:space="preserve">  Custom Price</t>
  </si>
  <si>
    <t xml:space="preserve">THB — free input</t>
  </si>
  <si>
    <t xml:space="preserve">⚠  Transfer fee base changes from 2027: update 'Land price/sq.wah — 2027+' and 'Building price/sq.m. — 2027+' when new official appraisal is published.</t>
  </si>
  <si>
    <t xml:space="preserve">⚠  Donation scenario not included — see 'Donation Note' sheet for explanation and worked example.</t>
  </si>
  <si>
    <t xml:space="preserve">ERGO Thailand — Namsing Building Disposal: Scenario Analysis</t>
  </si>
  <si>
    <t xml:space="preserve">All figures in THB unless stated. Formulas link to Inputs sheet — change values there only.  Blue = input ref  |  Black = formula  |  Green = cross-sheet link</t>
  </si>
  <si>
    <t xml:space="preserve">Q2 / 2026</t>
  </si>
  <si>
    <t xml:space="preserve">Q4 / 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</si>
  <si>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</si>
  <si>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</si>
  <si>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</si>
  <si>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</si>
  <si>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</si>
  <si>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IFRS dep: 0.5yr | TFRS dep: 0.5yr from YE2025</t>
  </si>
  <si>
    <t xml:space="preserve">IFRS dep: 1.0yr | TFRS dep: 1.0yr from YE2025</t>
  </si>
  <si>
    <t xml:space="preserve">⚠ New appraisal base from 2027</t>
  </si>
  <si>
    <t xml:space="preserve">⚠ 2028+: OIC revaluation — TCR may change</t>
  </si>
  <si>
    <t xml:space="preserve">Indicative — confirm OIC treatment</t>
  </si>
  <si>
    <t xml:space="preserve">Metric</t>
  </si>
  <si>
    <t xml:space="preserve">S1
665M</t>
  </si>
  <si>
    <t xml:space="preserve">S2
618M</t>
  </si>
  <si>
    <t xml:space="preserve">S3
550M</t>
  </si>
  <si>
    <t xml:space="preserve">S4
450M</t>
  </si>
  <si>
    <t xml:space="preserve">S5
400M</t>
  </si>
  <si>
    <t xml:space="preserve">S6
300M</t>
  </si>
  <si>
    <t xml:space="preserve">Custom
300M</t>
  </si>
  <si>
    <t xml:space="preserve">A.  SALE PROCEEDS &amp; TRANSACTION COSTS</t>
  </si>
  <si>
    <t xml:space="preserve">Gross Selling Price</t>
  </si>
  <si>
    <t xml:space="preserve">Transfer Fee  (2% × [land + building appraisal, building net of dep.])</t>
  </si>
  <si>
    <t xml:space="preserve">Specific Business Tax  (3.3%)</t>
  </si>
  <si>
    <t xml:space="preserve">Commission Fee (adjustable)</t>
  </si>
  <si>
    <t xml:space="preserve">Net Sales Proceeds</t>
  </si>
  <si>
    <t xml:space="preserve">B.  P&amp;L IMPACT — IFRS</t>
  </si>
  <si>
    <t xml:space="preserve">Net Book Value — IFRS (at disposal date)</t>
  </si>
  <si>
    <t xml:space="preserve">P&amp;L on Disposal  (Net Sales − IFRS BV)</t>
  </si>
  <si>
    <t xml:space="preserve">  Note: Tax base for property disposal = max(actual sale price, official appraisal value). The tax payable will not be lower than the appraisal-based calculation, regardless of sale price.</t>
  </si>
  <si>
    <t xml:space="preserve">C.  CAR IMPACT  (Capital Adequacy Ratio = TCA / TCR)</t>
  </si>
  <si>
    <t xml:space="preserve">Current CAR (baseline)</t>
  </si>
  <si>
    <t xml:space="preserve">Net Fair Value — TFRS (at disposal date)</t>
  </si>
  <si>
    <t xml:space="preserve">TCA Change  (Net Sales − TFRS Fair Value)</t>
  </si>
  <si>
    <t xml:space="preserve">New TCA  (THB M)</t>
  </si>
  <si>
    <t xml:space="preserve">New TCR  (THB M)  — fixed post-disposal
⚠ Excl. Diversification Benefit → actual CAR gain will be lower</t>
  </si>
  <si>
    <t xml:space="preserve">New CAR  (TCA / TCR)</t>
  </si>
  <si>
    <t xml:space="preserve">CAR Improvement vs Baseline</t>
  </si>
  <si>
    <t xml:space="preserve">  ⚠  IMPORTANT NOTES ON CAR:  (1) New TCR reduction (฿56.48M) excludes Diversification Benefit — actual CAR improvement will be less than shown above.  (2) From 2028: OIC requires property revaluation every 3 years — new appraisal could change risk charge and TCR. Figures for 2028+ are indicative only.</t>
  </si>
  <si>
    <t xml:space="preserve">Donation Scenario — Why It Is Not Included &amp; Tax Explanation</t>
  </si>
  <si>
    <t xml:space="preserve">The donation scenario was excluded from the main analysis because the Thai Revenue Code limits property donation deductions to 2% of net profit — making it financially unattractive. This sheet explains the mechanics with an illustrative example.</t>
  </si>
  <si>
    <t xml:space="preserve">A. ACCOUNTING TREATMENT ON DONATION (same under TFRS and IFRS)</t>
  </si>
  <si>
    <t xml:space="preserve">Journal Entry</t>
  </si>
  <si>
    <t xml:space="preserve">Debit</t>
  </si>
  <si>
    <t xml:space="preserve">Credit</t>
  </si>
  <si>
    <t xml:space="preserve">Amount</t>
  </si>
  <si>
    <t xml:space="preserve">Loss on disposal / donation expense</t>
  </si>
  <si>
    <t xml:space="preserve">Dr  Loss on disposal</t>
  </si>
  <si>
    <t xml:space="preserve">Equal to NBV of building</t>
  </si>
  <si>
    <t xml:space="preserve">Remove asset from books</t>
  </si>
  <si>
    <t xml:space="preserve">Cr  Building (NBV)</t>
  </si>
  <si>
    <t xml:space="preserve">P&amp;L Classification</t>
  </si>
  <si>
    <t xml:space="preserve">Recorded as 'Loss on disposal'</t>
  </si>
  <si>
    <t xml:space="preserve">Full NBV written off</t>
  </si>
  <si>
    <t xml:space="preserve">B. TAX TREATMENT — CRITICAL LIMITATION (Thai Revenue Code)</t>
  </si>
  <si>
    <t xml:space="preserve">Rule</t>
  </si>
  <si>
    <t xml:space="preserve">Donation deduction capped at 2% of net profit before donation deduction</t>
  </si>
  <si>
    <t xml:space="preserve">Condition</t>
  </si>
  <si>
    <t xml:space="preserve">Company MUST be profitable in the donation year</t>
  </si>
  <si>
    <t xml:space="preserve">Donation expense is non-deductible if company is in loss</t>
  </si>
  <si>
    <t xml:space="preserve">Excess donation</t>
  </si>
  <si>
    <t xml:space="preserve">Amount above 2% cap → added back to taxable income</t>
  </si>
  <si>
    <t xml:space="preserve">C. ILLUSTRATIVE EXAMPLE — Why Donation Is Unattractive</t>
  </si>
  <si>
    <t xml:space="preserve">ASSUMPTIONS (illustrative)</t>
  </si>
  <si>
    <t xml:space="preserve">Company net profit (before donation)</t>
  </si>
  <si>
    <t xml:space="preserve">THB M</t>
  </si>
  <si>
    <t xml:space="preserve">Building NBV donated</t>
  </si>
  <si>
    <t xml:space="preserve">Tax rate</t>
  </si>
  <si>
    <t xml:space="preserve">%</t>
  </si>
  <si>
    <t xml:space="preserve">Donation cap (2% × profit)</t>
  </si>
  <si>
    <t xml:space="preserve">Allowable donation deduction</t>
  </si>
  <si>
    <t xml:space="preserve">Excess donation (added back)</t>
  </si>
  <si>
    <t xml:space="preserve">Taxable income WITHOUT donation</t>
  </si>
  <si>
    <t xml:space="preserve">Tax WITHOUT donation</t>
  </si>
  <si>
    <t xml:space="preserve">Adjusted taxable income WITH donation</t>
  </si>
  <si>
    <t xml:space="preserve">  (= original profit + excess donation add-back)</t>
  </si>
  <si>
    <t xml:space="preserve">Tax WITH donation</t>
  </si>
  <si>
    <t xml:space="preserve">Additional tax COST from donating</t>
  </si>
  <si>
    <t xml:space="preserve">NET P&amp;L impact of donation</t>
  </si>
  <si>
    <t xml:space="preserve">CONCLUSION: Donating a ฿600M building when profit is ฿1,000M results in an EXTRA tax cost of ~฿116M vs not donating. The donation expense is largely non-deductible under Thai law. Scenario excluded from main analysis — sale options S1-S6 are materially better outcomes.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</si>
</sst>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#,##0.000;\(#,##0.000\);\-"/>
    <numFmt numFmtId="167" formatCode="#,##0"/>
    <numFmt numFmtId="168" formatCode="0.0%;\(0.0%\);\-"/>
    <numFmt numFmtId="169" formatCode="0.0000\x;\(0.0000&quot;x)&quot;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B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85640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i val="true"/>
      <sz val="8"/>
      <color rgb="FF85640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sz val="9.5"/>
      <color rgb="FF1A1A1A"/>
      <name val="Arial"/>
      <family val="0"/>
      <charset val="1"/>
    </font>
    <font>
      <i val="true"/>
      <sz val="8.5"/>
      <color rgb="FF856404"/>
      <name val="Arial"/>
      <family val="0"/>
      <charset val="1"/>
    </font>
    <font>
      <b val="true"/>
      <sz val="9"/>
      <color rgb="FF555555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b val="true"/>
      <sz val="10"/>
      <color rgb="FF155724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BE0000"/>
        <bgColor rgb="FF8B0000"/>
      </patternFill>
    </fill>
    <fill>
      <patternFill patternType="solid">
        <fgColor rgb="FFFDF5F5"/>
        <bgColor rgb="FFFFFFFF"/>
      </patternFill>
    </fill>
    <fill>
      <patternFill patternType="solid">
        <fgColor rgb="FF8B0000"/>
        <bgColor rgb="FFBE0000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FDF5F5"/>
      </patternFill>
    </fill>
    <fill>
      <patternFill patternType="solid">
        <fgColor rgb="FFFFF3CD"/>
        <bgColor rgb="FFFDF5F5"/>
      </patternFill>
    </fill>
    <fill>
      <patternFill patternType="solid">
        <fgColor rgb="FF1E3A6E"/>
        <bgColor rgb="FF2B4F9E"/>
      </patternFill>
    </fill>
    <fill>
      <patternFill patternType="solid">
        <fgColor rgb="FF2B4F9E"/>
        <bgColor rgb="FF4B5998"/>
      </patternFill>
    </fill>
    <fill>
      <patternFill patternType="solid">
        <fgColor rgb="FF4B5998"/>
        <bgColor rgb="FF2B4F9E"/>
      </patternFill>
    </fill>
    <fill>
      <patternFill patternType="solid">
        <fgColor rgb="FF7B2D2D"/>
        <bgColor rgb="FFA52A2A"/>
      </patternFill>
    </fill>
    <fill>
      <patternFill patternType="solid">
        <fgColor rgb="FFA52A2A"/>
        <bgColor rgb="FF993366"/>
      </patternFill>
    </fill>
    <fill>
      <patternFill patternType="solid">
        <fgColor rgb="FF185E6B"/>
        <bgColor rgb="FF2B4F9E"/>
      </patternFill>
    </fill>
    <fill>
      <patternFill patternType="solid">
        <fgColor rgb="FFFFFFFF"/>
        <bgColor rgb="FFFDF5F5"/>
      </patternFill>
    </fill>
    <fill>
      <patternFill patternType="solid">
        <fgColor rgb="FFD4EDDA"/>
        <bgColor rgb="FFEEEEEE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8B0000"/>
      </left>
      <right style="thin">
        <color rgb="FF8B0000"/>
      </right>
      <top style="thin">
        <color rgb="FF8B0000"/>
      </top>
      <bottom style="thin">
        <color rgb="FF8B0000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E0000"/>
      </left>
      <right/>
      <top style="thin">
        <color rgb="FFBE0000"/>
      </top>
      <bottom style="thin">
        <color rgb="FFBE0000"/>
      </bottom>
      <diagonal/>
    </border>
    <border diagonalUp="false" diagonalDown="false">
      <left style="thin">
        <color rgb="FF8B0000"/>
      </left>
      <right/>
      <top style="thin">
        <color rgb="FF8B0000"/>
      </top>
      <bottom style="thin">
        <color rgb="FF8B0000"/>
      </bottom>
      <diagonal/>
    </border>
    <border diagonalUp="false" diagonalDown="false">
      <left style="thin">
        <color rgb="FF1E3A6E"/>
      </left>
      <right style="thin">
        <color rgb="FF1E3A6E"/>
      </right>
      <top style="thin">
        <color rgb="FF1E3A6E"/>
      </top>
      <bottom style="thin">
        <color rgb="FF1E3A6E"/>
      </bottom>
      <diagonal/>
    </border>
    <border diagonalUp="false" diagonalDown="false">
      <left style="thin">
        <color rgb="FF2B4F9E"/>
      </left>
      <right style="thin">
        <color rgb="FF2B4F9E"/>
      </right>
      <top style="thin">
        <color rgb="FF2B4F9E"/>
      </top>
      <bottom style="thin">
        <color rgb="FF2B4F9E"/>
      </bottom>
      <diagonal/>
    </border>
    <border diagonalUp="false" diagonalDown="false">
      <left style="thin">
        <color rgb="FF4B5998"/>
      </left>
      <right style="thin">
        <color rgb="FF4B5998"/>
      </right>
      <top style="thin">
        <color rgb="FF4B5998"/>
      </top>
      <bottom style="thin">
        <color rgb="FF4B5998"/>
      </bottom>
      <diagonal/>
    </border>
    <border diagonalUp="false" diagonalDown="false">
      <left style="thin">
        <color rgb="FF7B2D2D"/>
      </left>
      <right style="thin">
        <color rgb="FF7B2D2D"/>
      </right>
      <top style="thin">
        <color rgb="FF7B2D2D"/>
      </top>
      <bottom style="thin">
        <color rgb="FF7B2D2D"/>
      </bottom>
      <diagonal/>
    </border>
    <border diagonalUp="false" diagonalDown="false">
      <left style="thin">
        <color rgb="FFA52A2A"/>
      </left>
      <right style="thin">
        <color rgb="FFA52A2A"/>
      </right>
      <top style="thin">
        <color rgb="FFA52A2A"/>
      </top>
      <bottom style="thin">
        <color rgb="FFA52A2A"/>
      </bottom>
      <diagonal/>
    </border>
    <border diagonalUp="false" diagonalDown="false">
      <left style="thin">
        <color rgb="FFBE0000"/>
      </left>
      <right style="thin">
        <color rgb="FFBE0000"/>
      </right>
      <top style="thin">
        <color rgb="FFBE0000"/>
      </top>
      <bottom style="thin">
        <color rgb="FFBE0000"/>
      </bottom>
      <diagonal/>
    </border>
    <border diagonalUp="false" diagonalDown="false">
      <left style="thin">
        <color rgb="FF185E6B"/>
      </left>
      <right style="thin">
        <color rgb="FF185E6B"/>
      </right>
      <top style="thin">
        <color rgb="FF185E6B"/>
      </top>
      <bottom style="thin">
        <color rgb="FF185E6B"/>
      </bottom>
      <diagonal/>
    </border>
    <border diagonalUp="false" diagonalDown="false">
      <left/>
      <right/>
      <top style="medium">
        <color rgb="FFBE0000"/>
      </top>
      <bottom style="medium">
        <color rgb="FFBE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3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56404"/>
      <rgbColor rgb="FF800080"/>
      <rgbColor rgb="FF185E6B"/>
      <rgbColor rgb="FFCCCCCC"/>
      <rgbColor rgb="FF808080"/>
      <rgbColor rgb="FF9999FF"/>
      <rgbColor rgb="FF7B2D2D"/>
      <rgbColor rgb="FFFFF3CD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BE0000"/>
      <rgbColor rgb="FF008080"/>
      <rgbColor rgb="FF0000FF"/>
      <rgbColor rgb="FF00CCFF"/>
      <rgbColor rgb="FFFDF5F5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998"/>
      <rgbColor rgb="FF969696"/>
      <rgbColor rgb="FF1E3A6E"/>
      <rgbColor rgb="FF339966"/>
      <rgbColor rgb="FF155724"/>
      <rgbColor rgb="FF555555"/>
      <rgbColor rgb="FFA52A2A"/>
      <rgbColor rgb="FF993366"/>
      <rgbColor rgb="FF2B4F9E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22"/>
  </cols>
  <sheetData>
    <row r="1" customFormat="false" ht="31.5" hidden="false" customHeight="true" outlineLevel="0" collapsed="false">
      <c r="B1" s="2" t="s">
        <v>0</v>
      </c>
      <c r="C1" s="2"/>
      <c r="D1" s="2"/>
    </row>
    <row r="2" customFormat="false" ht="15.75" hidden="false" customHeight="true" outlineLevel="0" collapsed="false">
      <c r="B2" s="3" t="s">
        <v>1</v>
      </c>
      <c r="C2" s="3"/>
      <c r="D2" s="3"/>
    </row>
    <row r="3" customFormat="false" ht="7.5" hidden="false" customHeight="true" outlineLevel="0" collapsed="false"/>
    <row r="4" customFormat="false" ht="19.5" hidden="false" customHeight="true" outlineLevel="0" collapsed="false">
      <c r="B4" s="4" t="s">
        <v>2</v>
      </c>
      <c r="C4" s="5" t="s">
        <v>3</v>
      </c>
      <c r="D4" s="5" t="s">
        <v>4</v>
      </c>
    </row>
    <row r="5" customFormat="false" ht="18" hidden="false" customHeight="true" outlineLevel="0" collapsed="false">
      <c r="B5" s="6" t="s">
        <v>5</v>
      </c>
      <c r="C5" s="6"/>
      <c r="D5" s="6"/>
    </row>
    <row r="6" customFormat="false" ht="16.5" hidden="false" customHeight="true" outlineLevel="0" collapsed="false">
      <c r="B6" s="7" t="s">
        <v>6</v>
      </c>
      <c r="C6" s="8" t="n">
        <v>618098251.57</v>
      </c>
      <c r="D6" s="9" t="s">
        <v>7</v>
      </c>
    </row>
    <row r="7" customFormat="false" ht="16.5" hidden="false" customHeight="true" outlineLevel="0" collapsed="false">
      <c r="B7" s="7" t="s">
        <v>8</v>
      </c>
      <c r="C7" s="8" t="n">
        <v>594567629.6</v>
      </c>
      <c r="D7" s="9" t="s">
        <v>9</v>
      </c>
    </row>
    <row r="8" customFormat="false" ht="16.5" hidden="false" customHeight="true" outlineLevel="0" collapsed="false">
      <c r="B8" s="7" t="s">
        <v>10</v>
      </c>
      <c r="C8" s="10" t="n">
        <v>5290521.3</v>
      </c>
      <c r="D8" s="9" t="s">
        <v>11</v>
      </c>
    </row>
    <row r="9" customFormat="false" ht="16.5" hidden="false" customHeight="true" outlineLevel="0" collapsed="false">
      <c r="B9" s="7" t="s">
        <v>12</v>
      </c>
      <c r="C9" s="10" t="n">
        <v>12030291.69</v>
      </c>
      <c r="D9" s="9" t="s">
        <v>13</v>
      </c>
    </row>
    <row r="10" customFormat="false" ht="18" hidden="false" customHeight="true" outlineLevel="0" collapsed="false">
      <c r="B10" s="6" t="s">
        <v>14</v>
      </c>
      <c r="C10" s="6"/>
      <c r="D10" s="6"/>
    </row>
    <row r="11" customFormat="false" ht="16.5" hidden="false" customHeight="true" outlineLevel="0" collapsed="false">
      <c r="B11" s="7" t="s">
        <v>15</v>
      </c>
      <c r="C11" s="11" t="n">
        <v>2091</v>
      </c>
      <c r="D11" s="9" t="s">
        <v>16</v>
      </c>
    </row>
    <row r="12" customFormat="false" ht="16.5" hidden="false" customHeight="true" outlineLevel="0" collapsed="false">
      <c r="B12" s="7" t="s">
        <v>17</v>
      </c>
      <c r="C12" s="11" t="n">
        <v>989</v>
      </c>
      <c r="D12" s="9" t="s">
        <v>16</v>
      </c>
    </row>
    <row r="13" customFormat="false" ht="16.5" hidden="false" customHeight="true" outlineLevel="0" collapsed="false">
      <c r="B13" s="7" t="s">
        <v>18</v>
      </c>
      <c r="C13" s="10" t="n">
        <v>56483924.812</v>
      </c>
      <c r="D13" s="9" t="s">
        <v>19</v>
      </c>
    </row>
    <row r="14" customFormat="false" ht="16.5" hidden="false" customHeight="true" outlineLevel="0" collapsed="false">
      <c r="B14" s="9" t="s">
        <v>20</v>
      </c>
      <c r="C14" s="12" t="n">
        <f aca="false">(C12*1000000-C13)/1000000</f>
        <v>932.516075188</v>
      </c>
      <c r="D14" s="9" t="s">
        <v>21</v>
      </c>
    </row>
    <row r="15" customFormat="false" ht="18" hidden="false" customHeight="true" outlineLevel="0" collapsed="false">
      <c r="B15" s="6" t="s">
        <v>22</v>
      </c>
      <c r="C15" s="6"/>
      <c r="D15" s="6"/>
    </row>
    <row r="16" customFormat="false" ht="16.5" hidden="false" customHeight="true" outlineLevel="0" collapsed="false">
      <c r="B16" s="7" t="s">
        <v>23</v>
      </c>
      <c r="C16" s="13" t="n">
        <v>855</v>
      </c>
      <c r="D16" s="14" t="s">
        <v>24</v>
      </c>
    </row>
    <row r="17" customFormat="false" ht="16.5" hidden="false" customHeight="true" outlineLevel="0" collapsed="false">
      <c r="B17" s="7" t="s">
        <v>25</v>
      </c>
      <c r="C17" s="15" t="n">
        <v>250000</v>
      </c>
      <c r="D17" s="14" t="s">
        <v>26</v>
      </c>
    </row>
    <row r="18" customFormat="false" ht="16.5" hidden="false" customHeight="true" outlineLevel="0" collapsed="false">
      <c r="B18" s="7" t="s">
        <v>27</v>
      </c>
      <c r="C18" s="15" t="n">
        <v>250000</v>
      </c>
      <c r="D18" s="14" t="s">
        <v>28</v>
      </c>
    </row>
    <row r="19" customFormat="false" ht="16.5" hidden="false" customHeight="true" outlineLevel="0" collapsed="false">
      <c r="B19" s="7" t="s">
        <v>29</v>
      </c>
      <c r="C19" s="13" t="n">
        <v>24109</v>
      </c>
      <c r="D19" s="14" t="s">
        <v>30</v>
      </c>
    </row>
    <row r="20" customFormat="false" ht="16.5" hidden="false" customHeight="true" outlineLevel="0" collapsed="false">
      <c r="B20" s="7" t="s">
        <v>31</v>
      </c>
      <c r="C20" s="15" t="n">
        <v>9400</v>
      </c>
      <c r="D20" s="14" t="s">
        <v>32</v>
      </c>
    </row>
    <row r="21" customFormat="false" ht="16.5" hidden="false" customHeight="true" outlineLevel="0" collapsed="false">
      <c r="B21" s="7" t="s">
        <v>33</v>
      </c>
      <c r="C21" s="15" t="n">
        <v>9400</v>
      </c>
      <c r="D21" s="14" t="s">
        <v>34</v>
      </c>
    </row>
    <row r="22" customFormat="false" ht="16.5" hidden="false" customHeight="true" outlineLevel="0" collapsed="false">
      <c r="B22" s="7" t="s">
        <v>35</v>
      </c>
      <c r="C22" s="16" t="n">
        <v>0.02</v>
      </c>
      <c r="D22" s="14" t="s">
        <v>36</v>
      </c>
    </row>
    <row r="23" customFormat="false" ht="16.5" hidden="false" customHeight="true" outlineLevel="0" collapsed="false">
      <c r="B23" s="7" t="s">
        <v>37</v>
      </c>
      <c r="C23" s="13" t="n">
        <v>32</v>
      </c>
      <c r="D23" s="14" t="s">
        <v>38</v>
      </c>
    </row>
    <row r="24" customFormat="false" ht="16.5" hidden="false" customHeight="true" outlineLevel="0" collapsed="false">
      <c r="B24" s="7" t="s">
        <v>39</v>
      </c>
      <c r="C24" s="16" t="n">
        <v>0.02</v>
      </c>
      <c r="D24" s="14" t="s">
        <v>40</v>
      </c>
    </row>
    <row r="25" customFormat="false" ht="16.5" hidden="false" customHeight="true" outlineLevel="0" collapsed="false">
      <c r="B25" s="17" t="s">
        <v>41</v>
      </c>
      <c r="C25" s="18" t="n">
        <f aca="false">C16*C17</f>
        <v>213750000</v>
      </c>
      <c r="D25" s="14" t="s">
        <v>42</v>
      </c>
    </row>
    <row r="26" customFormat="false" ht="16.5" hidden="false" customHeight="true" outlineLevel="0" collapsed="false">
      <c r="B26" s="17" t="s">
        <v>43</v>
      </c>
      <c r="C26" s="18" t="n">
        <f aca="false">C16*C18</f>
        <v>213750000</v>
      </c>
      <c r="D26" s="14" t="s">
        <v>44</v>
      </c>
    </row>
    <row r="27" customFormat="false" ht="16.5" hidden="false" customHeight="true" outlineLevel="0" collapsed="false">
      <c r="B27" s="17" t="s">
        <v>45</v>
      </c>
      <c r="C27" s="18" t="n">
        <f aca="false">C19*C20</f>
        <v>226624600</v>
      </c>
      <c r="D27" s="14" t="s">
        <v>46</v>
      </c>
    </row>
    <row r="28" customFormat="false" ht="18" hidden="false" customHeight="true" outlineLevel="0" collapsed="false">
      <c r="B28" s="19" t="s">
        <v>47</v>
      </c>
      <c r="C28" s="19"/>
      <c r="D28" s="19"/>
    </row>
    <row r="29" customFormat="false" ht="16.5" hidden="false" customHeight="true" outlineLevel="0" collapsed="false">
      <c r="B29" s="7" t="s">
        <v>48</v>
      </c>
      <c r="C29" s="16" t="n">
        <v>0.033</v>
      </c>
      <c r="D29" s="14" t="s">
        <v>49</v>
      </c>
    </row>
    <row r="30" customFormat="false" ht="16.5" hidden="false" customHeight="true" outlineLevel="0" collapsed="false">
      <c r="B30" s="7" t="s">
        <v>50</v>
      </c>
      <c r="C30" s="20" t="n">
        <v>0.03</v>
      </c>
      <c r="D30" s="14" t="s">
        <v>51</v>
      </c>
    </row>
    <row r="31" customFormat="false" ht="18" hidden="false" customHeight="true" outlineLevel="0" collapsed="false">
      <c r="B31" s="19" t="s">
        <v>52</v>
      </c>
      <c r="C31" s="19"/>
      <c r="D31" s="19"/>
    </row>
    <row r="32" customFormat="false" ht="16.5" hidden="false" customHeight="true" outlineLevel="0" collapsed="false">
      <c r="B32" s="7" t="s">
        <v>53</v>
      </c>
      <c r="C32" s="15" t="n">
        <v>665000000</v>
      </c>
      <c r="D32" s="14" t="s">
        <v>54</v>
      </c>
    </row>
    <row r="33" customFormat="false" ht="16.5" hidden="false" customHeight="true" outlineLevel="0" collapsed="false">
      <c r="B33" s="7" t="s">
        <v>55</v>
      </c>
      <c r="C33" s="15" t="n">
        <v>618000000</v>
      </c>
      <c r="D33" s="14" t="s">
        <v>54</v>
      </c>
    </row>
    <row r="34" customFormat="false" ht="16.5" hidden="false" customHeight="true" outlineLevel="0" collapsed="false">
      <c r="B34" s="7" t="s">
        <v>56</v>
      </c>
      <c r="C34" s="15" t="n">
        <v>550000000</v>
      </c>
      <c r="D34" s="14" t="s">
        <v>54</v>
      </c>
    </row>
    <row r="35" customFormat="false" ht="16.5" hidden="false" customHeight="true" outlineLevel="0" collapsed="false">
      <c r="B35" s="7" t="s">
        <v>57</v>
      </c>
      <c r="C35" s="15" t="n">
        <v>450000000</v>
      </c>
      <c r="D35" s="14" t="s">
        <v>54</v>
      </c>
    </row>
    <row r="36" customFormat="false" ht="16.5" hidden="false" customHeight="true" outlineLevel="0" collapsed="false">
      <c r="B36" s="21" t="s">
        <v>58</v>
      </c>
      <c r="C36" s="15" t="n">
        <v>400000000</v>
      </c>
      <c r="D36" s="14" t="s">
        <v>54</v>
      </c>
    </row>
    <row r="37" customFormat="false" ht="16.5" hidden="false" customHeight="true" outlineLevel="0" collapsed="false">
      <c r="B37" s="21" t="s">
        <v>59</v>
      </c>
      <c r="C37" s="15" t="n">
        <v>300000000</v>
      </c>
      <c r="D37" s="14" t="s">
        <v>54</v>
      </c>
    </row>
    <row r="38" customFormat="false" ht="16.5" hidden="false" customHeight="true" outlineLevel="0" collapsed="false">
      <c r="B38" s="7" t="s">
        <v>60</v>
      </c>
      <c r="C38" s="15" t="n">
        <v>300000000</v>
      </c>
      <c r="D38" s="14" t="s">
        <v>61</v>
      </c>
    </row>
    <row r="39" customFormat="false" ht="27.75" hidden="false" customHeight="true" outlineLevel="0" collapsed="false">
      <c r="B39" s="22" t="s">
        <v>62</v>
      </c>
      <c r="C39" s="22"/>
      <c r="D39" s="22"/>
    </row>
    <row r="40" customFormat="false" ht="18" hidden="false" customHeight="true" outlineLevel="0" collapsed="false">
      <c r="B40" s="22" t="s">
        <v>63</v>
      </c>
      <c r="C40" s="22"/>
      <c r="D40" s="22"/>
    </row>
  </sheetData>
  <mergeCells count="9">
    <mergeCell ref="B1:D1"/>
    <mergeCell ref="B2:D2"/>
    <mergeCell ref="B5:D5"/>
    <mergeCell ref="B10:D10"/>
    <mergeCell ref="B15:D15"/>
    <mergeCell ref="B28:D28"/>
    <mergeCell ref="B31:D31"/>
    <mergeCell ref="B39:D39"/>
    <mergeCell ref="B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Y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32"/>
    <col collapsed="false" customWidth="true" hidden="false" outlineLevel="0" max="51" min="3" style="1" width="13.5"/>
  </cols>
  <sheetData>
    <row r="1" customFormat="false" ht="27.75" hidden="false" customHeight="true" outlineLevel="0" collapsed="false">
      <c r="B1" s="23" t="s">
        <v>64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</row>
    <row r="2" customFormat="false" ht="13.5" hidden="false" customHeight="true" outlineLevel="0" collapsed="false">
      <c r="B2" s="24" t="s">
        <v>65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</row>
    <row r="3" customFormat="false" ht="6" hidden="false" customHeight="true" outlineLevel="0" collapsed="false"/>
    <row r="4" customFormat="false" ht="21.75" hidden="false" customHeight="true" outlineLevel="0" collapsed="false">
      <c r="B4" s="25"/>
      <c r="C4" s="26" t="s">
        <v>66</v>
      </c>
      <c r="D4" s="26"/>
      <c r="E4" s="26"/>
      <c r="F4" s="26"/>
      <c r="G4" s="26"/>
      <c r="H4" s="26"/>
      <c r="I4" s="26"/>
      <c r="J4" s="26" t="s">
        <v>67</v>
      </c>
      <c r="K4" s="26"/>
      <c r="L4" s="26"/>
      <c r="M4" s="26"/>
      <c r="N4" s="26"/>
      <c r="O4" s="26"/>
      <c r="P4" s="26"/>
      <c r="Q4" s="27" t="s">
        <v>68</v>
      </c>
      <c r="R4" s="27"/>
      <c r="S4" s="27"/>
      <c r="T4" s="27"/>
      <c r="U4" s="27"/>
      <c r="V4" s="27"/>
      <c r="W4" s="27"/>
      <c r="X4" s="27" t="s">
        <v>69</v>
      </c>
      <c r="Y4" s="27"/>
      <c r="Z4" s="27"/>
      <c r="AA4" s="27"/>
      <c r="AB4" s="27"/>
      <c r="AC4" s="27"/>
      <c r="AD4" s="27"/>
      <c r="AE4" s="27" t="s">
        <v>70</v>
      </c>
      <c r="AF4" s="27"/>
      <c r="AG4" s="27"/>
      <c r="AH4" s="27"/>
      <c r="AI4" s="27"/>
      <c r="AJ4" s="27"/>
      <c r="AK4" s="27"/>
      <c r="AL4" s="27" t="s">
        <v>71</v>
      </c>
      <c r="AM4" s="27"/>
      <c r="AN4" s="27"/>
      <c r="AO4" s="27"/>
      <c r="AP4" s="27"/>
      <c r="AQ4" s="27"/>
      <c r="AR4" s="27"/>
      <c r="AS4" s="27" t="s">
        <v>72</v>
      </c>
      <c r="AT4" s="27"/>
      <c r="AU4" s="27"/>
      <c r="AV4" s="27"/>
      <c r="AW4" s="27"/>
      <c r="AX4" s="27"/>
      <c r="AY4" s="27"/>
    </row>
    <row r="5" customFormat="false" ht="13.5" hidden="false" customHeight="true" outlineLevel="0" collapsed="false">
      <c r="B5" s="25"/>
      <c r="C5" s="28" t="s">
        <v>73</v>
      </c>
      <c r="D5" s="28"/>
      <c r="E5" s="28"/>
      <c r="F5" s="28"/>
      <c r="G5" s="28"/>
      <c r="H5" s="28"/>
      <c r="I5" s="28"/>
      <c r="J5" s="28" t="s">
        <v>74</v>
      </c>
      <c r="K5" s="28"/>
      <c r="L5" s="28"/>
      <c r="M5" s="28"/>
      <c r="N5" s="28"/>
      <c r="O5" s="28"/>
      <c r="P5" s="28"/>
      <c r="Q5" s="29" t="s">
        <v>75</v>
      </c>
      <c r="R5" s="29"/>
      <c r="S5" s="29"/>
      <c r="T5" s="29"/>
      <c r="U5" s="29"/>
      <c r="V5" s="29"/>
      <c r="W5" s="29"/>
      <c r="X5" s="29" t="s">
        <v>76</v>
      </c>
      <c r="Y5" s="29"/>
      <c r="Z5" s="29"/>
      <c r="AA5" s="29"/>
      <c r="AB5" s="29"/>
      <c r="AC5" s="29"/>
      <c r="AD5" s="29"/>
      <c r="AE5" s="28" t="s">
        <v>77</v>
      </c>
      <c r="AF5" s="28"/>
      <c r="AG5" s="28"/>
      <c r="AH5" s="28"/>
      <c r="AI5" s="28"/>
      <c r="AJ5" s="28"/>
      <c r="AK5" s="28"/>
      <c r="AL5" s="28" t="s">
        <v>77</v>
      </c>
      <c r="AM5" s="28"/>
      <c r="AN5" s="28"/>
      <c r="AO5" s="28"/>
      <c r="AP5" s="28"/>
      <c r="AQ5" s="28"/>
      <c r="AR5" s="28"/>
      <c r="AS5" s="28" t="s">
        <v>77</v>
      </c>
      <c r="AT5" s="28"/>
      <c r="AU5" s="28"/>
      <c r="AV5" s="28"/>
      <c r="AW5" s="28"/>
      <c r="AX5" s="28"/>
      <c r="AY5" s="28"/>
    </row>
    <row r="6" customFormat="false" ht="27.75" hidden="false" customHeight="true" outlineLevel="0" collapsed="false">
      <c r="B6" s="25" t="s">
        <v>78</v>
      </c>
      <c r="C6" s="30" t="s">
        <v>79</v>
      </c>
      <c r="D6" s="31" t="s">
        <v>80</v>
      </c>
      <c r="E6" s="32" t="s">
        <v>81</v>
      </c>
      <c r="F6" s="33" t="s">
        <v>82</v>
      </c>
      <c r="G6" s="34" t="s">
        <v>83</v>
      </c>
      <c r="H6" s="35" t="s">
        <v>84</v>
      </c>
      <c r="I6" s="36" t="s">
        <v>85</v>
      </c>
      <c r="J6" s="30" t="s">
        <v>79</v>
      </c>
      <c r="K6" s="31" t="s">
        <v>80</v>
      </c>
      <c r="L6" s="32" t="s">
        <v>81</v>
      </c>
      <c r="M6" s="33" t="s">
        <v>82</v>
      </c>
      <c r="N6" s="34" t="s">
        <v>83</v>
      </c>
      <c r="O6" s="35" t="s">
        <v>84</v>
      </c>
      <c r="P6" s="36" t="s">
        <v>85</v>
      </c>
      <c r="Q6" s="30" t="s">
        <v>79</v>
      </c>
      <c r="R6" s="31" t="s">
        <v>80</v>
      </c>
      <c r="S6" s="32" t="s">
        <v>81</v>
      </c>
      <c r="T6" s="33" t="s">
        <v>82</v>
      </c>
      <c r="U6" s="34" t="s">
        <v>83</v>
      </c>
      <c r="V6" s="35" t="s">
        <v>84</v>
      </c>
      <c r="W6" s="36" t="s">
        <v>85</v>
      </c>
      <c r="X6" s="30" t="s">
        <v>79</v>
      </c>
      <c r="Y6" s="31" t="s">
        <v>80</v>
      </c>
      <c r="Z6" s="32" t="s">
        <v>81</v>
      </c>
      <c r="AA6" s="33" t="s">
        <v>82</v>
      </c>
      <c r="AB6" s="34" t="s">
        <v>83</v>
      </c>
      <c r="AC6" s="35" t="s">
        <v>84</v>
      </c>
      <c r="AD6" s="36" t="s">
        <v>85</v>
      </c>
      <c r="AE6" s="30" t="s">
        <v>79</v>
      </c>
      <c r="AF6" s="31" t="s">
        <v>80</v>
      </c>
      <c r="AG6" s="32" t="s">
        <v>81</v>
      </c>
      <c r="AH6" s="33" t="s">
        <v>82</v>
      </c>
      <c r="AI6" s="34" t="s">
        <v>83</v>
      </c>
      <c r="AJ6" s="35" t="s">
        <v>84</v>
      </c>
      <c r="AK6" s="36" t="s">
        <v>85</v>
      </c>
      <c r="AL6" s="30" t="s">
        <v>79</v>
      </c>
      <c r="AM6" s="31" t="s">
        <v>80</v>
      </c>
      <c r="AN6" s="32" t="s">
        <v>81</v>
      </c>
      <c r="AO6" s="33" t="s">
        <v>82</v>
      </c>
      <c r="AP6" s="34" t="s">
        <v>83</v>
      </c>
      <c r="AQ6" s="35" t="s">
        <v>84</v>
      </c>
      <c r="AR6" s="36" t="s">
        <v>85</v>
      </c>
      <c r="AS6" s="30" t="s">
        <v>79</v>
      </c>
      <c r="AT6" s="31" t="s">
        <v>80</v>
      </c>
      <c r="AU6" s="32" t="s">
        <v>81</v>
      </c>
      <c r="AV6" s="33" t="s">
        <v>82</v>
      </c>
      <c r="AW6" s="34" t="s">
        <v>83</v>
      </c>
      <c r="AX6" s="35" t="s">
        <v>84</v>
      </c>
      <c r="AY6" s="36" t="s">
        <v>85</v>
      </c>
    </row>
    <row r="7" customFormat="false" ht="18" hidden="false" customHeight="true" outlineLevel="0" collapsed="false">
      <c r="B7" s="6" t="s">
        <v>86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</row>
    <row r="8" customFormat="false" ht="16.5" hidden="false" customHeight="true" outlineLevel="0" collapsed="false">
      <c r="B8" s="37" t="s">
        <v>87</v>
      </c>
      <c r="C8" s="38" t="n">
        <f aca="false">Inputs!$C$32</f>
        <v>665000000</v>
      </c>
      <c r="D8" s="38" t="n">
        <f aca="false">Inputs!$C$33</f>
        <v>618000000</v>
      </c>
      <c r="E8" s="38" t="n">
        <f aca="false">Inputs!$C$34</f>
        <v>550000000</v>
      </c>
      <c r="F8" s="38" t="n">
        <f aca="false">Inputs!$C$35</f>
        <v>450000000</v>
      </c>
      <c r="G8" s="38" t="n">
        <f aca="false">Inputs!$C$36</f>
        <v>400000000</v>
      </c>
      <c r="H8" s="38" t="n">
        <f aca="false">Inputs!$C$37</f>
        <v>300000000</v>
      </c>
      <c r="I8" s="38" t="n">
        <f aca="false">Inputs!$C$38</f>
        <v>300000000</v>
      </c>
      <c r="J8" s="38" t="n">
        <f aca="false">Inputs!$C$32</f>
        <v>665000000</v>
      </c>
      <c r="K8" s="38" t="n">
        <f aca="false">Inputs!$C$33</f>
        <v>618000000</v>
      </c>
      <c r="L8" s="38" t="n">
        <f aca="false">Inputs!$C$34</f>
        <v>550000000</v>
      </c>
      <c r="M8" s="38" t="n">
        <f aca="false">Inputs!$C$35</f>
        <v>450000000</v>
      </c>
      <c r="N8" s="38" t="n">
        <f aca="false">Inputs!$C$36</f>
        <v>400000000</v>
      </c>
      <c r="O8" s="38" t="n">
        <f aca="false">Inputs!$C$37</f>
        <v>300000000</v>
      </c>
      <c r="P8" s="38" t="n">
        <f aca="false">Inputs!$C$38</f>
        <v>300000000</v>
      </c>
      <c r="Q8" s="38" t="n">
        <f aca="false">Inputs!$C$32</f>
        <v>665000000</v>
      </c>
      <c r="R8" s="38" t="n">
        <f aca="false">Inputs!$C$33</f>
        <v>618000000</v>
      </c>
      <c r="S8" s="38" t="n">
        <f aca="false">Inputs!$C$34</f>
        <v>550000000</v>
      </c>
      <c r="T8" s="38" t="n">
        <f aca="false">Inputs!$C$35</f>
        <v>450000000</v>
      </c>
      <c r="U8" s="38" t="n">
        <f aca="false">Inputs!$C$36</f>
        <v>400000000</v>
      </c>
      <c r="V8" s="38" t="n">
        <f aca="false">Inputs!$C$37</f>
        <v>300000000</v>
      </c>
      <c r="W8" s="38" t="n">
        <f aca="false">Inputs!$C$38</f>
        <v>300000000</v>
      </c>
      <c r="X8" s="38" t="n">
        <f aca="false">Inputs!$C$32</f>
        <v>665000000</v>
      </c>
      <c r="Y8" s="38" t="n">
        <f aca="false">Inputs!$C$33</f>
        <v>618000000</v>
      </c>
      <c r="Z8" s="38" t="n">
        <f aca="false">Inputs!$C$34</f>
        <v>550000000</v>
      </c>
      <c r="AA8" s="38" t="n">
        <f aca="false">Inputs!$C$35</f>
        <v>450000000</v>
      </c>
      <c r="AB8" s="38" t="n">
        <f aca="false">Inputs!$C$36</f>
        <v>400000000</v>
      </c>
      <c r="AC8" s="38" t="n">
        <f aca="false">Inputs!$C$37</f>
        <v>300000000</v>
      </c>
      <c r="AD8" s="38" t="n">
        <f aca="false">Inputs!$C$38</f>
        <v>300000000</v>
      </c>
      <c r="AE8" s="38" t="n">
        <f aca="false">Inputs!$C$32</f>
        <v>665000000</v>
      </c>
      <c r="AF8" s="38" t="n">
        <f aca="false">Inputs!$C$33</f>
        <v>618000000</v>
      </c>
      <c r="AG8" s="38" t="n">
        <f aca="false">Inputs!$C$34</f>
        <v>550000000</v>
      </c>
      <c r="AH8" s="38" t="n">
        <f aca="false">Inputs!$C$35</f>
        <v>450000000</v>
      </c>
      <c r="AI8" s="38" t="n">
        <f aca="false">Inputs!$C$36</f>
        <v>400000000</v>
      </c>
      <c r="AJ8" s="38" t="n">
        <f aca="false">Inputs!$C$37</f>
        <v>300000000</v>
      </c>
      <c r="AK8" s="38" t="n">
        <f aca="false">Inputs!$C$38</f>
        <v>300000000</v>
      </c>
      <c r="AL8" s="38" t="n">
        <f aca="false">Inputs!$C$32</f>
        <v>665000000</v>
      </c>
      <c r="AM8" s="38" t="n">
        <f aca="false">Inputs!$C$33</f>
        <v>618000000</v>
      </c>
      <c r="AN8" s="38" t="n">
        <f aca="false">Inputs!$C$34</f>
        <v>550000000</v>
      </c>
      <c r="AO8" s="38" t="n">
        <f aca="false">Inputs!$C$35</f>
        <v>450000000</v>
      </c>
      <c r="AP8" s="38" t="n">
        <f aca="false">Inputs!$C$36</f>
        <v>400000000</v>
      </c>
      <c r="AQ8" s="38" t="n">
        <f aca="false">Inputs!$C$37</f>
        <v>300000000</v>
      </c>
      <c r="AR8" s="38" t="n">
        <f aca="false">Inputs!$C$38</f>
        <v>300000000</v>
      </c>
      <c r="AS8" s="38" t="n">
        <f aca="false">Inputs!$C$32</f>
        <v>665000000</v>
      </c>
      <c r="AT8" s="38" t="n">
        <f aca="false">Inputs!$C$33</f>
        <v>618000000</v>
      </c>
      <c r="AU8" s="38" t="n">
        <f aca="false">Inputs!$C$34</f>
        <v>550000000</v>
      </c>
      <c r="AV8" s="38" t="n">
        <f aca="false">Inputs!$C$35</f>
        <v>450000000</v>
      </c>
      <c r="AW8" s="38" t="n">
        <f aca="false">Inputs!$C$36</f>
        <v>400000000</v>
      </c>
      <c r="AX8" s="38" t="n">
        <f aca="false">Inputs!$C$37</f>
        <v>300000000</v>
      </c>
      <c r="AY8" s="38" t="n">
        <f aca="false">Inputs!$C$38</f>
        <v>300000000</v>
      </c>
    </row>
    <row r="9" customFormat="false" ht="16.5" hidden="false" customHeight="true" outlineLevel="0" collapsed="false">
      <c r="B9" s="7" t="s">
        <v>88</v>
      </c>
      <c r="C9" s="38" t="n">
        <f aca="false">-Inputs!$C$24*(Inputs!$C$16*Inputs!$C$17+Inputs!$C$19*Inputs!$C$20*MAX(0,1-Inputs!$C$22*(Inputs!$C$23+0.5)))</f>
        <v>-5861372.2</v>
      </c>
      <c r="D9" s="38" t="n">
        <f aca="false">-Inputs!$C$24*(Inputs!$C$16*Inputs!$C$17+Inputs!$C$19*Inputs!$C$20*MAX(0,1-Inputs!$C$22*(Inputs!$C$23+0.5)))</f>
        <v>-5861372.2</v>
      </c>
      <c r="E9" s="38" t="n">
        <f aca="false">-Inputs!$C$24*(Inputs!$C$16*Inputs!$C$17+Inputs!$C$19*Inputs!$C$20*MAX(0,1-Inputs!$C$22*(Inputs!$C$23+0.5)))</f>
        <v>-5861372.2</v>
      </c>
      <c r="F9" s="38" t="n">
        <f aca="false">-Inputs!$C$24*(Inputs!$C$16*Inputs!$C$17+Inputs!$C$19*Inputs!$C$20*MAX(0,1-Inputs!$C$22*(Inputs!$C$23+0.5)))</f>
        <v>-5861372.2</v>
      </c>
      <c r="G9" s="38" t="n">
        <f aca="false">-Inputs!$C$24*(Inputs!$C$16*Inputs!$C$17+Inputs!$C$19*Inputs!$C$20*MAX(0,1-Inputs!$C$22*(Inputs!$C$23+0.5)))</f>
        <v>-5861372.2</v>
      </c>
      <c r="H9" s="38" t="n">
        <f aca="false">-Inputs!$C$24*(Inputs!$C$16*Inputs!$C$17+Inputs!$C$19*Inputs!$C$20*MAX(0,1-Inputs!$C$22*(Inputs!$C$23+0.5)))</f>
        <v>-5861372.2</v>
      </c>
      <c r="I9" s="38" t="n">
        <f aca="false">-Inputs!$C$24*(Inputs!$C$16*Inputs!$C$17+Inputs!$C$19*Inputs!$C$20*MAX(0,1-Inputs!$C$22*(Inputs!$C$23+0.5)))</f>
        <v>-5861372.2</v>
      </c>
      <c r="J9" s="38" t="n">
        <f aca="false">-Inputs!$C$24*(Inputs!$C$16*Inputs!$C$17+Inputs!$C$19*Inputs!$C$20*MAX(0,1-Inputs!$C$22*(Inputs!$C$23+1)))</f>
        <v>-5816047.28</v>
      </c>
      <c r="K9" s="38" t="n">
        <f aca="false">-Inputs!$C$24*(Inputs!$C$16*Inputs!$C$17+Inputs!$C$19*Inputs!$C$20*MAX(0,1-Inputs!$C$22*(Inputs!$C$23+1)))</f>
        <v>-5816047.28</v>
      </c>
      <c r="L9" s="38" t="n">
        <f aca="false">-Inputs!$C$24*(Inputs!$C$16*Inputs!$C$17+Inputs!$C$19*Inputs!$C$20*MAX(0,1-Inputs!$C$22*(Inputs!$C$23+1)))</f>
        <v>-5816047.28</v>
      </c>
      <c r="M9" s="38" t="n">
        <f aca="false">-Inputs!$C$24*(Inputs!$C$16*Inputs!$C$17+Inputs!$C$19*Inputs!$C$20*MAX(0,1-Inputs!$C$22*(Inputs!$C$23+1)))</f>
        <v>-5816047.28</v>
      </c>
      <c r="N9" s="38" t="n">
        <f aca="false">-Inputs!$C$24*(Inputs!$C$16*Inputs!$C$17+Inputs!$C$19*Inputs!$C$20*MAX(0,1-Inputs!$C$22*(Inputs!$C$23+1)))</f>
        <v>-5816047.28</v>
      </c>
      <c r="O9" s="38" t="n">
        <f aca="false">-Inputs!$C$24*(Inputs!$C$16*Inputs!$C$17+Inputs!$C$19*Inputs!$C$20*MAX(0,1-Inputs!$C$22*(Inputs!$C$23+1)))</f>
        <v>-5816047.28</v>
      </c>
      <c r="P9" s="38" t="n">
        <f aca="false">-Inputs!$C$24*(Inputs!$C$16*Inputs!$C$17+Inputs!$C$19*Inputs!$C$20*MAX(0,1-Inputs!$C$22*(Inputs!$C$23+1)))</f>
        <v>-5816047.28</v>
      </c>
      <c r="Q9" s="38" t="n">
        <f aca="false">-Inputs!$C$24*(Inputs!$C$16*Inputs!$C$18+Inputs!$C$19*Inputs!$C$21*MAX(0,1-Inputs!$C$22*(Inputs!$C$23+1.5)))</f>
        <v>-5770722.36</v>
      </c>
      <c r="R9" s="38" t="n">
        <f aca="false">-Inputs!$C$24*(Inputs!$C$16*Inputs!$C$18+Inputs!$C$19*Inputs!$C$21*MAX(0,1-Inputs!$C$22*(Inputs!$C$23+1.5)))</f>
        <v>-5770722.36</v>
      </c>
      <c r="S9" s="38" t="n">
        <f aca="false">-Inputs!$C$24*(Inputs!$C$16*Inputs!$C$18+Inputs!$C$19*Inputs!$C$21*MAX(0,1-Inputs!$C$22*(Inputs!$C$23+1.5)))</f>
        <v>-5770722.36</v>
      </c>
      <c r="T9" s="38" t="n">
        <f aca="false">-Inputs!$C$24*(Inputs!$C$16*Inputs!$C$18+Inputs!$C$19*Inputs!$C$21*MAX(0,1-Inputs!$C$22*(Inputs!$C$23+1.5)))</f>
        <v>-5770722.36</v>
      </c>
      <c r="U9" s="38" t="n">
        <f aca="false">-Inputs!$C$24*(Inputs!$C$16*Inputs!$C$18+Inputs!$C$19*Inputs!$C$21*MAX(0,1-Inputs!$C$22*(Inputs!$C$23+1.5)))</f>
        <v>-5770722.36</v>
      </c>
      <c r="V9" s="38" t="n">
        <f aca="false">-Inputs!$C$24*(Inputs!$C$16*Inputs!$C$18+Inputs!$C$19*Inputs!$C$21*MAX(0,1-Inputs!$C$22*(Inputs!$C$23+1.5)))</f>
        <v>-5770722.36</v>
      </c>
      <c r="W9" s="38" t="n">
        <f aca="false">-Inputs!$C$24*(Inputs!$C$16*Inputs!$C$18+Inputs!$C$19*Inputs!$C$21*MAX(0,1-Inputs!$C$22*(Inputs!$C$23+1.5)))</f>
        <v>-5770722.36</v>
      </c>
      <c r="X9" s="38" t="n">
        <f aca="false">-Inputs!$C$24*(Inputs!$C$16*Inputs!$C$18+Inputs!$C$19*Inputs!$C$21*MAX(0,1-Inputs!$C$22*(Inputs!$C$23+2.5)))</f>
        <v>-5680072.52</v>
      </c>
      <c r="Y9" s="38" t="n">
        <f aca="false">-Inputs!$C$24*(Inputs!$C$16*Inputs!$C$18+Inputs!$C$19*Inputs!$C$21*MAX(0,1-Inputs!$C$22*(Inputs!$C$23+2.5)))</f>
        <v>-5680072.52</v>
      </c>
      <c r="Z9" s="38" t="n">
        <f aca="false">-Inputs!$C$24*(Inputs!$C$16*Inputs!$C$18+Inputs!$C$19*Inputs!$C$21*MAX(0,1-Inputs!$C$22*(Inputs!$C$23+2.5)))</f>
        <v>-5680072.52</v>
      </c>
      <c r="AA9" s="38" t="n">
        <f aca="false">-Inputs!$C$24*(Inputs!$C$16*Inputs!$C$18+Inputs!$C$19*Inputs!$C$21*MAX(0,1-Inputs!$C$22*(Inputs!$C$23+2.5)))</f>
        <v>-5680072.52</v>
      </c>
      <c r="AB9" s="38" t="n">
        <f aca="false">-Inputs!$C$24*(Inputs!$C$16*Inputs!$C$18+Inputs!$C$19*Inputs!$C$21*MAX(0,1-Inputs!$C$22*(Inputs!$C$23+2.5)))</f>
        <v>-5680072.52</v>
      </c>
      <c r="AC9" s="38" t="n">
        <f aca="false">-Inputs!$C$24*(Inputs!$C$16*Inputs!$C$18+Inputs!$C$19*Inputs!$C$21*MAX(0,1-Inputs!$C$22*(Inputs!$C$23+2.5)))</f>
        <v>-5680072.52</v>
      </c>
      <c r="AD9" s="38" t="n">
        <f aca="false">-Inputs!$C$24*(Inputs!$C$16*Inputs!$C$18+Inputs!$C$19*Inputs!$C$21*MAX(0,1-Inputs!$C$22*(Inputs!$C$23+2.5)))</f>
        <v>-5680072.52</v>
      </c>
      <c r="AE9" s="38" t="n">
        <f aca="false">-Inputs!$C$24*(Inputs!$C$16*Inputs!$C$18+Inputs!$C$19*Inputs!$C$21*MAX(0,1-Inputs!$C$22*(Inputs!$C$23+3.5)))</f>
        <v>-5589422.68</v>
      </c>
      <c r="AF9" s="38" t="n">
        <f aca="false">-Inputs!$C$24*(Inputs!$C$16*Inputs!$C$18+Inputs!$C$19*Inputs!$C$21*MAX(0,1-Inputs!$C$22*(Inputs!$C$23+3.5)))</f>
        <v>-5589422.68</v>
      </c>
      <c r="AG9" s="38" t="n">
        <f aca="false">-Inputs!$C$24*(Inputs!$C$16*Inputs!$C$18+Inputs!$C$19*Inputs!$C$21*MAX(0,1-Inputs!$C$22*(Inputs!$C$23+3.5)))</f>
        <v>-5589422.68</v>
      </c>
      <c r="AH9" s="38" t="n">
        <f aca="false">-Inputs!$C$24*(Inputs!$C$16*Inputs!$C$18+Inputs!$C$19*Inputs!$C$21*MAX(0,1-Inputs!$C$22*(Inputs!$C$23+3.5)))</f>
        <v>-5589422.68</v>
      </c>
      <c r="AI9" s="38" t="n">
        <f aca="false">-Inputs!$C$24*(Inputs!$C$16*Inputs!$C$18+Inputs!$C$19*Inputs!$C$21*MAX(0,1-Inputs!$C$22*(Inputs!$C$23+3.5)))</f>
        <v>-5589422.68</v>
      </c>
      <c r="AJ9" s="38" t="n">
        <f aca="false">-Inputs!$C$24*(Inputs!$C$16*Inputs!$C$18+Inputs!$C$19*Inputs!$C$21*MAX(0,1-Inputs!$C$22*(Inputs!$C$23+3.5)))</f>
        <v>-5589422.68</v>
      </c>
      <c r="AK9" s="38" t="n">
        <f aca="false">-Inputs!$C$24*(Inputs!$C$16*Inputs!$C$18+Inputs!$C$19*Inputs!$C$21*MAX(0,1-Inputs!$C$22*(Inputs!$C$23+3.5)))</f>
        <v>-5589422.68</v>
      </c>
      <c r="AL9" s="38" t="n">
        <f aca="false">-Inputs!$C$24*(Inputs!$C$16*Inputs!$C$18+Inputs!$C$19*Inputs!$C$21*MAX(0,1-Inputs!$C$22*(Inputs!$C$23+4.5)))</f>
        <v>-5498772.84</v>
      </c>
      <c r="AM9" s="38" t="n">
        <f aca="false">-Inputs!$C$24*(Inputs!$C$16*Inputs!$C$18+Inputs!$C$19*Inputs!$C$21*MAX(0,1-Inputs!$C$22*(Inputs!$C$23+4.5)))</f>
        <v>-5498772.84</v>
      </c>
      <c r="AN9" s="38" t="n">
        <f aca="false">-Inputs!$C$24*(Inputs!$C$16*Inputs!$C$18+Inputs!$C$19*Inputs!$C$21*MAX(0,1-Inputs!$C$22*(Inputs!$C$23+4.5)))</f>
        <v>-5498772.84</v>
      </c>
      <c r="AO9" s="38" t="n">
        <f aca="false">-Inputs!$C$24*(Inputs!$C$16*Inputs!$C$18+Inputs!$C$19*Inputs!$C$21*MAX(0,1-Inputs!$C$22*(Inputs!$C$23+4.5)))</f>
        <v>-5498772.84</v>
      </c>
      <c r="AP9" s="38" t="n">
        <f aca="false">-Inputs!$C$24*(Inputs!$C$16*Inputs!$C$18+Inputs!$C$19*Inputs!$C$21*MAX(0,1-Inputs!$C$22*(Inputs!$C$23+4.5)))</f>
        <v>-5498772.84</v>
      </c>
      <c r="AQ9" s="38" t="n">
        <f aca="false">-Inputs!$C$24*(Inputs!$C$16*Inputs!$C$18+Inputs!$C$19*Inputs!$C$21*MAX(0,1-Inputs!$C$22*(Inputs!$C$23+4.5)))</f>
        <v>-5498772.84</v>
      </c>
      <c r="AR9" s="38" t="n">
        <f aca="false">-Inputs!$C$24*(Inputs!$C$16*Inputs!$C$18+Inputs!$C$19*Inputs!$C$21*MAX(0,1-Inputs!$C$22*(Inputs!$C$23+4.5)))</f>
        <v>-5498772.84</v>
      </c>
      <c r="AS9" s="38" t="n">
        <f aca="false">-Inputs!$C$24*(Inputs!$C$16*Inputs!$C$18+Inputs!$C$19*Inputs!$C$21*MAX(0,1-Inputs!$C$22*(Inputs!$C$23+5.5)))</f>
        <v>-5408123</v>
      </c>
      <c r="AT9" s="38" t="n">
        <f aca="false">-Inputs!$C$24*(Inputs!$C$16*Inputs!$C$18+Inputs!$C$19*Inputs!$C$21*MAX(0,1-Inputs!$C$22*(Inputs!$C$23+5.5)))</f>
        <v>-5408123</v>
      </c>
      <c r="AU9" s="38" t="n">
        <f aca="false">-Inputs!$C$24*(Inputs!$C$16*Inputs!$C$18+Inputs!$C$19*Inputs!$C$21*MAX(0,1-Inputs!$C$22*(Inputs!$C$23+5.5)))</f>
        <v>-5408123</v>
      </c>
      <c r="AV9" s="38" t="n">
        <f aca="false">-Inputs!$C$24*(Inputs!$C$16*Inputs!$C$18+Inputs!$C$19*Inputs!$C$21*MAX(0,1-Inputs!$C$22*(Inputs!$C$23+5.5)))</f>
        <v>-5408123</v>
      </c>
      <c r="AW9" s="38" t="n">
        <f aca="false">-Inputs!$C$24*(Inputs!$C$16*Inputs!$C$18+Inputs!$C$19*Inputs!$C$21*MAX(0,1-Inputs!$C$22*(Inputs!$C$23+5.5)))</f>
        <v>-5408123</v>
      </c>
      <c r="AX9" s="38" t="n">
        <f aca="false">-Inputs!$C$24*(Inputs!$C$16*Inputs!$C$18+Inputs!$C$19*Inputs!$C$21*MAX(0,1-Inputs!$C$22*(Inputs!$C$23+5.5)))</f>
        <v>-5408123</v>
      </c>
      <c r="AY9" s="38" t="n">
        <f aca="false">-Inputs!$C$24*(Inputs!$C$16*Inputs!$C$18+Inputs!$C$19*Inputs!$C$21*MAX(0,1-Inputs!$C$22*(Inputs!$C$23+5.5)))</f>
        <v>-5408123</v>
      </c>
    </row>
    <row r="10" customFormat="false" ht="16.5" hidden="false" customHeight="true" outlineLevel="0" collapsed="false">
      <c r="B10" s="7" t="s">
        <v>89</v>
      </c>
      <c r="C10" s="38" t="n">
        <f aca="false">-Inputs!$C$32*Inputs!$C$29</f>
        <v>-21945000</v>
      </c>
      <c r="D10" s="38" t="n">
        <f aca="false">-Inputs!$C$33*Inputs!$C$29</f>
        <v>-20394000</v>
      </c>
      <c r="E10" s="38" t="n">
        <f aca="false">-Inputs!$C$34*Inputs!$C$29</f>
        <v>-18150000</v>
      </c>
      <c r="F10" s="38" t="n">
        <f aca="false">-Inputs!$C$35*Inputs!$C$29</f>
        <v>-14850000</v>
      </c>
      <c r="G10" s="38" t="n">
        <f aca="false">-Inputs!$C$36*Inputs!$C$29</f>
        <v>-13200000</v>
      </c>
      <c r="H10" s="38" t="n">
        <f aca="false">-Inputs!$C$37*Inputs!$C$29</f>
        <v>-9900000</v>
      </c>
      <c r="I10" s="38" t="n">
        <f aca="false">-Inputs!$C$38*Inputs!$C$29</f>
        <v>-9900000</v>
      </c>
      <c r="J10" s="38" t="n">
        <f aca="false">-Inputs!$C$32*Inputs!$C$29</f>
        <v>-21945000</v>
      </c>
      <c r="K10" s="38" t="n">
        <f aca="false">-Inputs!$C$33*Inputs!$C$29</f>
        <v>-20394000</v>
      </c>
      <c r="L10" s="38" t="n">
        <f aca="false">-Inputs!$C$34*Inputs!$C$29</f>
        <v>-18150000</v>
      </c>
      <c r="M10" s="38" t="n">
        <f aca="false">-Inputs!$C$35*Inputs!$C$29</f>
        <v>-14850000</v>
      </c>
      <c r="N10" s="38" t="n">
        <f aca="false">-Inputs!$C$36*Inputs!$C$29</f>
        <v>-13200000</v>
      </c>
      <c r="O10" s="38" t="n">
        <f aca="false">-Inputs!$C$37*Inputs!$C$29</f>
        <v>-9900000</v>
      </c>
      <c r="P10" s="38" t="n">
        <f aca="false">-Inputs!$C$38*Inputs!$C$29</f>
        <v>-9900000</v>
      </c>
      <c r="Q10" s="38" t="n">
        <f aca="false">-Inputs!$C$32*Inputs!$C$29</f>
        <v>-21945000</v>
      </c>
      <c r="R10" s="38" t="n">
        <f aca="false">-Inputs!$C$33*Inputs!$C$29</f>
        <v>-20394000</v>
      </c>
      <c r="S10" s="38" t="n">
        <f aca="false">-Inputs!$C$34*Inputs!$C$29</f>
        <v>-18150000</v>
      </c>
      <c r="T10" s="38" t="n">
        <f aca="false">-Inputs!$C$35*Inputs!$C$29</f>
        <v>-14850000</v>
      </c>
      <c r="U10" s="38" t="n">
        <f aca="false">-Inputs!$C$36*Inputs!$C$29</f>
        <v>-13200000</v>
      </c>
      <c r="V10" s="38" t="n">
        <f aca="false">-Inputs!$C$37*Inputs!$C$29</f>
        <v>-9900000</v>
      </c>
      <c r="W10" s="38" t="n">
        <f aca="false">-Inputs!$C$38*Inputs!$C$29</f>
        <v>-9900000</v>
      </c>
      <c r="X10" s="38" t="n">
        <f aca="false">-Inputs!$C$32*Inputs!$C$29</f>
        <v>-21945000</v>
      </c>
      <c r="Y10" s="38" t="n">
        <f aca="false">-Inputs!$C$33*Inputs!$C$29</f>
        <v>-20394000</v>
      </c>
      <c r="Z10" s="38" t="n">
        <f aca="false">-Inputs!$C$34*Inputs!$C$29</f>
        <v>-18150000</v>
      </c>
      <c r="AA10" s="38" t="n">
        <f aca="false">-Inputs!$C$35*Inputs!$C$29</f>
        <v>-14850000</v>
      </c>
      <c r="AB10" s="38" t="n">
        <f aca="false">-Inputs!$C$36*Inputs!$C$29</f>
        <v>-13200000</v>
      </c>
      <c r="AC10" s="38" t="n">
        <f aca="false">-Inputs!$C$37*Inputs!$C$29</f>
        <v>-9900000</v>
      </c>
      <c r="AD10" s="38" t="n">
        <f aca="false">-Inputs!$C$38*Inputs!$C$29</f>
        <v>-9900000</v>
      </c>
      <c r="AE10" s="38" t="n">
        <f aca="false">-Inputs!$C$32*Inputs!$C$29</f>
        <v>-21945000</v>
      </c>
      <c r="AF10" s="38" t="n">
        <f aca="false">-Inputs!$C$33*Inputs!$C$29</f>
        <v>-20394000</v>
      </c>
      <c r="AG10" s="38" t="n">
        <f aca="false">-Inputs!$C$34*Inputs!$C$29</f>
        <v>-18150000</v>
      </c>
      <c r="AH10" s="38" t="n">
        <f aca="false">-Inputs!$C$35*Inputs!$C$29</f>
        <v>-14850000</v>
      </c>
      <c r="AI10" s="38" t="n">
        <f aca="false">-Inputs!$C$36*Inputs!$C$29</f>
        <v>-13200000</v>
      </c>
      <c r="AJ10" s="38" t="n">
        <f aca="false">-Inputs!$C$37*Inputs!$C$29</f>
        <v>-9900000</v>
      </c>
      <c r="AK10" s="38" t="n">
        <f aca="false">-Inputs!$C$38*Inputs!$C$29</f>
        <v>-9900000</v>
      </c>
      <c r="AL10" s="38" t="n">
        <f aca="false">-Inputs!$C$32*Inputs!$C$29</f>
        <v>-21945000</v>
      </c>
      <c r="AM10" s="38" t="n">
        <f aca="false">-Inputs!$C$33*Inputs!$C$29</f>
        <v>-20394000</v>
      </c>
      <c r="AN10" s="38" t="n">
        <f aca="false">-Inputs!$C$34*Inputs!$C$29</f>
        <v>-18150000</v>
      </c>
      <c r="AO10" s="38" t="n">
        <f aca="false">-Inputs!$C$35*Inputs!$C$29</f>
        <v>-14850000</v>
      </c>
      <c r="AP10" s="38" t="n">
        <f aca="false">-Inputs!$C$36*Inputs!$C$29</f>
        <v>-13200000</v>
      </c>
      <c r="AQ10" s="38" t="n">
        <f aca="false">-Inputs!$C$37*Inputs!$C$29</f>
        <v>-9900000</v>
      </c>
      <c r="AR10" s="38" t="n">
        <f aca="false">-Inputs!$C$38*Inputs!$C$29</f>
        <v>-9900000</v>
      </c>
      <c r="AS10" s="38" t="n">
        <f aca="false">-Inputs!$C$32*Inputs!$C$29</f>
        <v>-21945000</v>
      </c>
      <c r="AT10" s="38" t="n">
        <f aca="false">-Inputs!$C$33*Inputs!$C$29</f>
        <v>-20394000</v>
      </c>
      <c r="AU10" s="38" t="n">
        <f aca="false">-Inputs!$C$34*Inputs!$C$29</f>
        <v>-18150000</v>
      </c>
      <c r="AV10" s="38" t="n">
        <f aca="false">-Inputs!$C$35*Inputs!$C$29</f>
        <v>-14850000</v>
      </c>
      <c r="AW10" s="38" t="n">
        <f aca="false">-Inputs!$C$36*Inputs!$C$29</f>
        <v>-13200000</v>
      </c>
      <c r="AX10" s="38" t="n">
        <f aca="false">-Inputs!$C$37*Inputs!$C$29</f>
        <v>-9900000</v>
      </c>
      <c r="AY10" s="38" t="n">
        <f aca="false">-Inputs!$C$38*Inputs!$C$29</f>
        <v>-9900000</v>
      </c>
    </row>
    <row r="11" customFormat="false" ht="16.5" hidden="false" customHeight="true" outlineLevel="0" collapsed="false">
      <c r="B11" s="7" t="s">
        <v>90</v>
      </c>
      <c r="C11" s="38" t="n">
        <f aca="false">-Inputs!$C$32*Inputs!$C$30</f>
        <v>-19950000</v>
      </c>
      <c r="D11" s="38" t="n">
        <f aca="false">-Inputs!$C$33*Inputs!$C$30</f>
        <v>-18540000</v>
      </c>
      <c r="E11" s="38" t="n">
        <f aca="false">-Inputs!$C$34*Inputs!$C$30</f>
        <v>-16500000</v>
      </c>
      <c r="F11" s="38" t="n">
        <f aca="false">-Inputs!$C$35*Inputs!$C$30</f>
        <v>-13500000</v>
      </c>
      <c r="G11" s="38" t="n">
        <f aca="false">-Inputs!$C$36*Inputs!$C$30</f>
        <v>-12000000</v>
      </c>
      <c r="H11" s="38" t="n">
        <f aca="false">-Inputs!$C$37*Inputs!$C$30</f>
        <v>-9000000</v>
      </c>
      <c r="I11" s="38" t="n">
        <f aca="false">-Inputs!$C$38*Inputs!$C$30</f>
        <v>-9000000</v>
      </c>
      <c r="J11" s="38" t="n">
        <f aca="false">-Inputs!$C$32*Inputs!$C$30</f>
        <v>-19950000</v>
      </c>
      <c r="K11" s="38" t="n">
        <f aca="false">-Inputs!$C$33*Inputs!$C$30</f>
        <v>-18540000</v>
      </c>
      <c r="L11" s="38" t="n">
        <f aca="false">-Inputs!$C$34*Inputs!$C$30</f>
        <v>-16500000</v>
      </c>
      <c r="M11" s="38" t="n">
        <f aca="false">-Inputs!$C$35*Inputs!$C$30</f>
        <v>-13500000</v>
      </c>
      <c r="N11" s="38" t="n">
        <f aca="false">-Inputs!$C$36*Inputs!$C$30</f>
        <v>-12000000</v>
      </c>
      <c r="O11" s="38" t="n">
        <f aca="false">-Inputs!$C$37*Inputs!$C$30</f>
        <v>-9000000</v>
      </c>
      <c r="P11" s="38" t="n">
        <f aca="false">-Inputs!$C$38*Inputs!$C$30</f>
        <v>-9000000</v>
      </c>
      <c r="Q11" s="38" t="n">
        <f aca="false">-Inputs!$C$32*Inputs!$C$30</f>
        <v>-19950000</v>
      </c>
      <c r="R11" s="38" t="n">
        <f aca="false">-Inputs!$C$33*Inputs!$C$30</f>
        <v>-18540000</v>
      </c>
      <c r="S11" s="38" t="n">
        <f aca="false">-Inputs!$C$34*Inputs!$C$30</f>
        <v>-16500000</v>
      </c>
      <c r="T11" s="38" t="n">
        <f aca="false">-Inputs!$C$35*Inputs!$C$30</f>
        <v>-13500000</v>
      </c>
      <c r="U11" s="38" t="n">
        <f aca="false">-Inputs!$C$36*Inputs!$C$30</f>
        <v>-12000000</v>
      </c>
      <c r="V11" s="38" t="n">
        <f aca="false">-Inputs!$C$37*Inputs!$C$30</f>
        <v>-9000000</v>
      </c>
      <c r="W11" s="38" t="n">
        <f aca="false">-Inputs!$C$38*Inputs!$C$30</f>
        <v>-9000000</v>
      </c>
      <c r="X11" s="38" t="n">
        <f aca="false">-Inputs!$C$32*Inputs!$C$30</f>
        <v>-19950000</v>
      </c>
      <c r="Y11" s="38" t="n">
        <f aca="false">-Inputs!$C$33*Inputs!$C$30</f>
        <v>-18540000</v>
      </c>
      <c r="Z11" s="38" t="n">
        <f aca="false">-Inputs!$C$34*Inputs!$C$30</f>
        <v>-16500000</v>
      </c>
      <c r="AA11" s="38" t="n">
        <f aca="false">-Inputs!$C$35*Inputs!$C$30</f>
        <v>-13500000</v>
      </c>
      <c r="AB11" s="38" t="n">
        <f aca="false">-Inputs!$C$36*Inputs!$C$30</f>
        <v>-12000000</v>
      </c>
      <c r="AC11" s="38" t="n">
        <f aca="false">-Inputs!$C$37*Inputs!$C$30</f>
        <v>-9000000</v>
      </c>
      <c r="AD11" s="38" t="n">
        <f aca="false">-Inputs!$C$38*Inputs!$C$30</f>
        <v>-9000000</v>
      </c>
      <c r="AE11" s="38" t="n">
        <f aca="false">-Inputs!$C$32*Inputs!$C$30</f>
        <v>-19950000</v>
      </c>
      <c r="AF11" s="38" t="n">
        <f aca="false">-Inputs!$C$33*Inputs!$C$30</f>
        <v>-18540000</v>
      </c>
      <c r="AG11" s="38" t="n">
        <f aca="false">-Inputs!$C$34*Inputs!$C$30</f>
        <v>-16500000</v>
      </c>
      <c r="AH11" s="38" t="n">
        <f aca="false">-Inputs!$C$35*Inputs!$C$30</f>
        <v>-13500000</v>
      </c>
      <c r="AI11" s="38" t="n">
        <f aca="false">-Inputs!$C$36*Inputs!$C$30</f>
        <v>-12000000</v>
      </c>
      <c r="AJ11" s="38" t="n">
        <f aca="false">-Inputs!$C$37*Inputs!$C$30</f>
        <v>-9000000</v>
      </c>
      <c r="AK11" s="38" t="n">
        <f aca="false">-Inputs!$C$38*Inputs!$C$30</f>
        <v>-9000000</v>
      </c>
      <c r="AL11" s="38" t="n">
        <f aca="false">-Inputs!$C$32*Inputs!$C$30</f>
        <v>-19950000</v>
      </c>
      <c r="AM11" s="38" t="n">
        <f aca="false">-Inputs!$C$33*Inputs!$C$30</f>
        <v>-18540000</v>
      </c>
      <c r="AN11" s="38" t="n">
        <f aca="false">-Inputs!$C$34*Inputs!$C$30</f>
        <v>-16500000</v>
      </c>
      <c r="AO11" s="38" t="n">
        <f aca="false">-Inputs!$C$35*Inputs!$C$30</f>
        <v>-13500000</v>
      </c>
      <c r="AP11" s="38" t="n">
        <f aca="false">-Inputs!$C$36*Inputs!$C$30</f>
        <v>-12000000</v>
      </c>
      <c r="AQ11" s="38" t="n">
        <f aca="false">-Inputs!$C$37*Inputs!$C$30</f>
        <v>-9000000</v>
      </c>
      <c r="AR11" s="38" t="n">
        <f aca="false">-Inputs!$C$38*Inputs!$C$30</f>
        <v>-9000000</v>
      </c>
      <c r="AS11" s="38" t="n">
        <f aca="false">-Inputs!$C$32*Inputs!$C$30</f>
        <v>-19950000</v>
      </c>
      <c r="AT11" s="38" t="n">
        <f aca="false">-Inputs!$C$33*Inputs!$C$30</f>
        <v>-18540000</v>
      </c>
      <c r="AU11" s="38" t="n">
        <f aca="false">-Inputs!$C$34*Inputs!$C$30</f>
        <v>-16500000</v>
      </c>
      <c r="AV11" s="38" t="n">
        <f aca="false">-Inputs!$C$35*Inputs!$C$30</f>
        <v>-13500000</v>
      </c>
      <c r="AW11" s="38" t="n">
        <f aca="false">-Inputs!$C$36*Inputs!$C$30</f>
        <v>-12000000</v>
      </c>
      <c r="AX11" s="38" t="n">
        <f aca="false">-Inputs!$C$37*Inputs!$C$30</f>
        <v>-9000000</v>
      </c>
      <c r="AY11" s="38" t="n">
        <f aca="false">-Inputs!$C$38*Inputs!$C$30</f>
        <v>-9000000</v>
      </c>
    </row>
    <row r="12" customFormat="false" ht="16.5" hidden="false" customHeight="true" outlineLevel="0" collapsed="false">
      <c r="B12" s="39" t="s">
        <v>91</v>
      </c>
      <c r="C12" s="40" t="n">
        <f aca="false">C8+C9+C10+C11</f>
        <v>617243627.8</v>
      </c>
      <c r="D12" s="40" t="n">
        <f aca="false">D8+D9+D10+D11</f>
        <v>573204627.8</v>
      </c>
      <c r="E12" s="40" t="n">
        <f aca="false">E8+E9+E10+E11</f>
        <v>509488627.8</v>
      </c>
      <c r="F12" s="40" t="n">
        <f aca="false">F8+F9+F10+F11</f>
        <v>415788627.8</v>
      </c>
      <c r="G12" s="40" t="n">
        <f aca="false">G8+G9+G10+G11</f>
        <v>368938627.8</v>
      </c>
      <c r="H12" s="40" t="n">
        <f aca="false">H8+H9+H10+H11</f>
        <v>275238627.8</v>
      </c>
      <c r="I12" s="40" t="n">
        <f aca="false">I8+I9+I10+I11</f>
        <v>275238627.8</v>
      </c>
      <c r="J12" s="40" t="n">
        <f aca="false">J8+J9+J10+J11</f>
        <v>617288952.72</v>
      </c>
      <c r="K12" s="40" t="n">
        <f aca="false">K8+K9+K10+K11</f>
        <v>573249952.72</v>
      </c>
      <c r="L12" s="40" t="n">
        <f aca="false">L8+L9+L10+L11</f>
        <v>509533952.72</v>
      </c>
      <c r="M12" s="40" t="n">
        <f aca="false">M8+M9+M10+M11</f>
        <v>415833952.72</v>
      </c>
      <c r="N12" s="40" t="n">
        <f aca="false">N8+N9+N10+N11</f>
        <v>368983952.72</v>
      </c>
      <c r="O12" s="40" t="n">
        <f aca="false">O8+O9+O10+O11</f>
        <v>275283952.72</v>
      </c>
      <c r="P12" s="40" t="n">
        <f aca="false">P8+P9+P10+P11</f>
        <v>275283952.72</v>
      </c>
      <c r="Q12" s="40" t="n">
        <f aca="false">Q8+Q9+Q10+Q11</f>
        <v>617334277.64</v>
      </c>
      <c r="R12" s="40" t="n">
        <f aca="false">R8+R9+R10+R11</f>
        <v>573295277.64</v>
      </c>
      <c r="S12" s="40" t="n">
        <f aca="false">S8+S9+S10+S11</f>
        <v>509579277.64</v>
      </c>
      <c r="T12" s="40" t="n">
        <f aca="false">T8+T9+T10+T11</f>
        <v>415879277.64</v>
      </c>
      <c r="U12" s="40" t="n">
        <f aca="false">U8+U9+U10+U11</f>
        <v>369029277.64</v>
      </c>
      <c r="V12" s="40" t="n">
        <f aca="false">V8+V9+V10+V11</f>
        <v>275329277.64</v>
      </c>
      <c r="W12" s="40" t="n">
        <f aca="false">W8+W9+W10+W11</f>
        <v>275329277.64</v>
      </c>
      <c r="X12" s="40" t="n">
        <f aca="false">X8+X9+X10+X11</f>
        <v>617424927.48</v>
      </c>
      <c r="Y12" s="40" t="n">
        <f aca="false">Y8+Y9+Y10+Y11</f>
        <v>573385927.48</v>
      </c>
      <c r="Z12" s="40" t="n">
        <f aca="false">Z8+Z9+Z10+Z11</f>
        <v>509669927.48</v>
      </c>
      <c r="AA12" s="40" t="n">
        <f aca="false">AA8+AA9+AA10+AA11</f>
        <v>415969927.48</v>
      </c>
      <c r="AB12" s="40" t="n">
        <f aca="false">AB8+AB9+AB10+AB11</f>
        <v>369119927.48</v>
      </c>
      <c r="AC12" s="40" t="n">
        <f aca="false">AC8+AC9+AC10+AC11</f>
        <v>275419927.48</v>
      </c>
      <c r="AD12" s="40" t="n">
        <f aca="false">AD8+AD9+AD10+AD11</f>
        <v>275419927.48</v>
      </c>
      <c r="AE12" s="40" t="n">
        <f aca="false">AE8+AE9+AE10+AE11</f>
        <v>617515577.32</v>
      </c>
      <c r="AF12" s="40" t="n">
        <f aca="false">AF8+AF9+AF10+AF11</f>
        <v>573476577.32</v>
      </c>
      <c r="AG12" s="40" t="n">
        <f aca="false">AG8+AG9+AG10+AG11</f>
        <v>509760577.32</v>
      </c>
      <c r="AH12" s="40" t="n">
        <f aca="false">AH8+AH9+AH10+AH11</f>
        <v>416060577.32</v>
      </c>
      <c r="AI12" s="40" t="n">
        <f aca="false">AI8+AI9+AI10+AI11</f>
        <v>369210577.32</v>
      </c>
      <c r="AJ12" s="40" t="n">
        <f aca="false">AJ8+AJ9+AJ10+AJ11</f>
        <v>275510577.32</v>
      </c>
      <c r="AK12" s="40" t="n">
        <f aca="false">AK8+AK9+AK10+AK11</f>
        <v>275510577.32</v>
      </c>
      <c r="AL12" s="40" t="n">
        <f aca="false">AL8+AL9+AL10+AL11</f>
        <v>617606227.16</v>
      </c>
      <c r="AM12" s="40" t="n">
        <f aca="false">AM8+AM9+AM10+AM11</f>
        <v>573567227.16</v>
      </c>
      <c r="AN12" s="40" t="n">
        <f aca="false">AN8+AN9+AN10+AN11</f>
        <v>509851227.16</v>
      </c>
      <c r="AO12" s="40" t="n">
        <f aca="false">AO8+AO9+AO10+AO11</f>
        <v>416151227.16</v>
      </c>
      <c r="AP12" s="40" t="n">
        <f aca="false">AP8+AP9+AP10+AP11</f>
        <v>369301227.16</v>
      </c>
      <c r="AQ12" s="40" t="n">
        <f aca="false">AQ8+AQ9+AQ10+AQ11</f>
        <v>275601227.16</v>
      </c>
      <c r="AR12" s="40" t="n">
        <f aca="false">AR8+AR9+AR10+AR11</f>
        <v>275601227.16</v>
      </c>
      <c r="AS12" s="40" t="n">
        <f aca="false">AS8+AS9+AS10+AS11</f>
        <v>617696877</v>
      </c>
      <c r="AT12" s="40" t="n">
        <f aca="false">AT8+AT9+AT10+AT11</f>
        <v>573657877</v>
      </c>
      <c r="AU12" s="40" t="n">
        <f aca="false">AU8+AU9+AU10+AU11</f>
        <v>509941877</v>
      </c>
      <c r="AV12" s="40" t="n">
        <f aca="false">AV8+AV9+AV10+AV11</f>
        <v>416241877</v>
      </c>
      <c r="AW12" s="40" t="n">
        <f aca="false">AW8+AW9+AW10+AW11</f>
        <v>369391877</v>
      </c>
      <c r="AX12" s="40" t="n">
        <f aca="false">AX8+AX9+AX10+AX11</f>
        <v>275691877</v>
      </c>
      <c r="AY12" s="40" t="n">
        <f aca="false">AY8+AY9+AY10+AY11</f>
        <v>275691877</v>
      </c>
    </row>
    <row r="14" customFormat="false" ht="18" hidden="false" customHeight="true" outlineLevel="0" collapsed="false">
      <c r="B14" s="6" t="s">
        <v>92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</row>
    <row r="15" customFormat="false" ht="16.5" hidden="false" customHeight="true" outlineLevel="0" collapsed="false">
      <c r="B15" s="7" t="s">
        <v>93</v>
      </c>
      <c r="C15" s="38" t="n">
        <f aca="false">Inputs!$C$6-0.5*Inputs!$C$8</f>
        <v>615452990.92</v>
      </c>
      <c r="D15" s="38" t="n">
        <f aca="false">Inputs!$C$6-0.5*Inputs!$C$8</f>
        <v>615452990.92</v>
      </c>
      <c r="E15" s="38" t="n">
        <f aca="false">Inputs!$C$6-0.5*Inputs!$C$8</f>
        <v>615452990.92</v>
      </c>
      <c r="F15" s="38" t="n">
        <f aca="false">Inputs!$C$6-0.5*Inputs!$C$8</f>
        <v>615452990.92</v>
      </c>
      <c r="G15" s="38" t="n">
        <f aca="false">Inputs!$C$6-0.5*Inputs!$C$8</f>
        <v>615452990.92</v>
      </c>
      <c r="H15" s="38" t="n">
        <f aca="false">Inputs!$C$6-0.5*Inputs!$C$8</f>
        <v>615452990.92</v>
      </c>
      <c r="I15" s="38" t="n">
        <f aca="false">Inputs!$C$6-0.5*Inputs!$C$8</f>
        <v>615452990.92</v>
      </c>
      <c r="J15" s="38" t="n">
        <f aca="false">Inputs!$C$6-1*Inputs!$C$8</f>
        <v>612807730.27</v>
      </c>
      <c r="K15" s="38" t="n">
        <f aca="false">Inputs!$C$6-1*Inputs!$C$8</f>
        <v>612807730.27</v>
      </c>
      <c r="L15" s="38" t="n">
        <f aca="false">Inputs!$C$6-1*Inputs!$C$8</f>
        <v>612807730.27</v>
      </c>
      <c r="M15" s="38" t="n">
        <f aca="false">Inputs!$C$6-1*Inputs!$C$8</f>
        <v>612807730.27</v>
      </c>
      <c r="N15" s="38" t="n">
        <f aca="false">Inputs!$C$6-1*Inputs!$C$8</f>
        <v>612807730.27</v>
      </c>
      <c r="O15" s="38" t="n">
        <f aca="false">Inputs!$C$6-1*Inputs!$C$8</f>
        <v>612807730.27</v>
      </c>
      <c r="P15" s="38" t="n">
        <f aca="false">Inputs!$C$6-1*Inputs!$C$8</f>
        <v>612807730.27</v>
      </c>
      <c r="Q15" s="38" t="n">
        <f aca="false">Inputs!$C$6-1.5*Inputs!$C$8</f>
        <v>610162469.62</v>
      </c>
      <c r="R15" s="38" t="n">
        <f aca="false">Inputs!$C$6-1.5*Inputs!$C$8</f>
        <v>610162469.62</v>
      </c>
      <c r="S15" s="38" t="n">
        <f aca="false">Inputs!$C$6-1.5*Inputs!$C$8</f>
        <v>610162469.62</v>
      </c>
      <c r="T15" s="38" t="n">
        <f aca="false">Inputs!$C$6-1.5*Inputs!$C$8</f>
        <v>610162469.62</v>
      </c>
      <c r="U15" s="38" t="n">
        <f aca="false">Inputs!$C$6-1.5*Inputs!$C$8</f>
        <v>610162469.62</v>
      </c>
      <c r="V15" s="38" t="n">
        <f aca="false">Inputs!$C$6-1.5*Inputs!$C$8</f>
        <v>610162469.62</v>
      </c>
      <c r="W15" s="38" t="n">
        <f aca="false">Inputs!$C$6-1.5*Inputs!$C$8</f>
        <v>610162469.62</v>
      </c>
      <c r="X15" s="38" t="n">
        <f aca="false">Inputs!$C$6-2.5*Inputs!$C$8</f>
        <v>604871948.32</v>
      </c>
      <c r="Y15" s="38" t="n">
        <f aca="false">Inputs!$C$6-2.5*Inputs!$C$8</f>
        <v>604871948.32</v>
      </c>
      <c r="Z15" s="38" t="n">
        <f aca="false">Inputs!$C$6-2.5*Inputs!$C$8</f>
        <v>604871948.32</v>
      </c>
      <c r="AA15" s="38" t="n">
        <f aca="false">Inputs!$C$6-2.5*Inputs!$C$8</f>
        <v>604871948.32</v>
      </c>
      <c r="AB15" s="38" t="n">
        <f aca="false">Inputs!$C$6-2.5*Inputs!$C$8</f>
        <v>604871948.32</v>
      </c>
      <c r="AC15" s="38" t="n">
        <f aca="false">Inputs!$C$6-2.5*Inputs!$C$8</f>
        <v>604871948.32</v>
      </c>
      <c r="AD15" s="38" t="n">
        <f aca="false">Inputs!$C$6-2.5*Inputs!$C$8</f>
        <v>604871948.32</v>
      </c>
      <c r="AE15" s="38" t="n">
        <f aca="false">Inputs!$C$6-3.5*Inputs!$C$8</f>
        <v>599581427.02</v>
      </c>
      <c r="AF15" s="38" t="n">
        <f aca="false">Inputs!$C$6-3.5*Inputs!$C$8</f>
        <v>599581427.02</v>
      </c>
      <c r="AG15" s="38" t="n">
        <f aca="false">Inputs!$C$6-3.5*Inputs!$C$8</f>
        <v>599581427.02</v>
      </c>
      <c r="AH15" s="38" t="n">
        <f aca="false">Inputs!$C$6-3.5*Inputs!$C$8</f>
        <v>599581427.02</v>
      </c>
      <c r="AI15" s="38" t="n">
        <f aca="false">Inputs!$C$6-3.5*Inputs!$C$8</f>
        <v>599581427.02</v>
      </c>
      <c r="AJ15" s="38" t="n">
        <f aca="false">Inputs!$C$6-3.5*Inputs!$C$8</f>
        <v>599581427.02</v>
      </c>
      <c r="AK15" s="38" t="n">
        <f aca="false">Inputs!$C$6-3.5*Inputs!$C$8</f>
        <v>599581427.02</v>
      </c>
      <c r="AL15" s="38" t="n">
        <f aca="false">Inputs!$C$6-4.5*Inputs!$C$8</f>
        <v>594290905.72</v>
      </c>
      <c r="AM15" s="38" t="n">
        <f aca="false">Inputs!$C$6-4.5*Inputs!$C$8</f>
        <v>594290905.72</v>
      </c>
      <c r="AN15" s="38" t="n">
        <f aca="false">Inputs!$C$6-4.5*Inputs!$C$8</f>
        <v>594290905.72</v>
      </c>
      <c r="AO15" s="38" t="n">
        <f aca="false">Inputs!$C$6-4.5*Inputs!$C$8</f>
        <v>594290905.72</v>
      </c>
      <c r="AP15" s="38" t="n">
        <f aca="false">Inputs!$C$6-4.5*Inputs!$C$8</f>
        <v>594290905.72</v>
      </c>
      <c r="AQ15" s="38" t="n">
        <f aca="false">Inputs!$C$6-4.5*Inputs!$C$8</f>
        <v>594290905.72</v>
      </c>
      <c r="AR15" s="38" t="n">
        <f aca="false">Inputs!$C$6-4.5*Inputs!$C$8</f>
        <v>594290905.72</v>
      </c>
      <c r="AS15" s="38" t="n">
        <f aca="false">Inputs!$C$6-5.5*Inputs!$C$8</f>
        <v>589000384.42</v>
      </c>
      <c r="AT15" s="38" t="n">
        <f aca="false">Inputs!$C$6-5.5*Inputs!$C$8</f>
        <v>589000384.42</v>
      </c>
      <c r="AU15" s="38" t="n">
        <f aca="false">Inputs!$C$6-5.5*Inputs!$C$8</f>
        <v>589000384.42</v>
      </c>
      <c r="AV15" s="38" t="n">
        <f aca="false">Inputs!$C$6-5.5*Inputs!$C$8</f>
        <v>589000384.42</v>
      </c>
      <c r="AW15" s="38" t="n">
        <f aca="false">Inputs!$C$6-5.5*Inputs!$C$8</f>
        <v>589000384.42</v>
      </c>
      <c r="AX15" s="38" t="n">
        <f aca="false">Inputs!$C$6-5.5*Inputs!$C$8</f>
        <v>589000384.42</v>
      </c>
      <c r="AY15" s="38" t="n">
        <f aca="false">Inputs!$C$6-5.5*Inputs!$C$8</f>
        <v>589000384.42</v>
      </c>
    </row>
    <row r="16" customFormat="false" ht="16.5" hidden="false" customHeight="true" outlineLevel="0" collapsed="false">
      <c r="B16" s="39" t="s">
        <v>94</v>
      </c>
      <c r="C16" s="40" t="n">
        <f aca="false">C12-C15</f>
        <v>1790636.87999988</v>
      </c>
      <c r="D16" s="40" t="n">
        <f aca="false">D12-D15</f>
        <v>-42248363.1200001</v>
      </c>
      <c r="E16" s="40" t="n">
        <f aca="false">E12-E15</f>
        <v>-105964363.12</v>
      </c>
      <c r="F16" s="40" t="n">
        <f aca="false">F12-F15</f>
        <v>-199664363.12</v>
      </c>
      <c r="G16" s="40" t="n">
        <f aca="false">G12-G15</f>
        <v>-246514363.12</v>
      </c>
      <c r="H16" s="40" t="n">
        <f aca="false">H12-H15</f>
        <v>-340214363.12</v>
      </c>
      <c r="I16" s="40" t="n">
        <f aca="false">I12-I15</f>
        <v>-340214363.12</v>
      </c>
      <c r="J16" s="40" t="n">
        <f aca="false">J12-J15</f>
        <v>4481222.44999993</v>
      </c>
      <c r="K16" s="40" t="n">
        <f aca="false">K12-K15</f>
        <v>-39557777.5500001</v>
      </c>
      <c r="L16" s="40" t="n">
        <f aca="false">L12-L15</f>
        <v>-103273777.55</v>
      </c>
      <c r="M16" s="40" t="n">
        <f aca="false">M12-M15</f>
        <v>-196973777.55</v>
      </c>
      <c r="N16" s="40" t="n">
        <f aca="false">N12-N15</f>
        <v>-243823777.55</v>
      </c>
      <c r="O16" s="40" t="n">
        <f aca="false">O12-O15</f>
        <v>-337523777.55</v>
      </c>
      <c r="P16" s="40" t="n">
        <f aca="false">P12-P15</f>
        <v>-337523777.55</v>
      </c>
      <c r="Q16" s="40" t="n">
        <f aca="false">Q12-Q15</f>
        <v>7171808.01999998</v>
      </c>
      <c r="R16" s="40" t="n">
        <f aca="false">R12-R15</f>
        <v>-36867191.98</v>
      </c>
      <c r="S16" s="40" t="n">
        <f aca="false">S12-S15</f>
        <v>-100583191.98</v>
      </c>
      <c r="T16" s="40" t="n">
        <f aca="false">T12-T15</f>
        <v>-194283191.98</v>
      </c>
      <c r="U16" s="40" t="n">
        <f aca="false">U12-U15</f>
        <v>-241133191.98</v>
      </c>
      <c r="V16" s="40" t="n">
        <f aca="false">V12-V15</f>
        <v>-334833191.98</v>
      </c>
      <c r="W16" s="40" t="n">
        <f aca="false">W12-W15</f>
        <v>-334833191.98</v>
      </c>
      <c r="X16" s="40" t="n">
        <f aca="false">X12-X15</f>
        <v>12552979.16</v>
      </c>
      <c r="Y16" s="40" t="n">
        <f aca="false">Y12-Y15</f>
        <v>-31486020.84</v>
      </c>
      <c r="Z16" s="40" t="n">
        <f aca="false">Z12-Z15</f>
        <v>-95202020.84</v>
      </c>
      <c r="AA16" s="40" t="n">
        <f aca="false">AA12-AA15</f>
        <v>-188902020.84</v>
      </c>
      <c r="AB16" s="40" t="n">
        <f aca="false">AB12-AB15</f>
        <v>-235752020.84</v>
      </c>
      <c r="AC16" s="40" t="n">
        <f aca="false">AC12-AC15</f>
        <v>-329452020.84</v>
      </c>
      <c r="AD16" s="40" t="n">
        <f aca="false">AD12-AD15</f>
        <v>-329452020.84</v>
      </c>
      <c r="AE16" s="40" t="n">
        <f aca="false">AE12-AE15</f>
        <v>17934150.3</v>
      </c>
      <c r="AF16" s="40" t="n">
        <f aca="false">AF12-AF15</f>
        <v>-26104849.7</v>
      </c>
      <c r="AG16" s="40" t="n">
        <f aca="false">AG12-AG15</f>
        <v>-89820849.7000001</v>
      </c>
      <c r="AH16" s="40" t="n">
        <f aca="false">AH12-AH15</f>
        <v>-183520849.7</v>
      </c>
      <c r="AI16" s="40" t="n">
        <f aca="false">AI12-AI15</f>
        <v>-230370849.7</v>
      </c>
      <c r="AJ16" s="40" t="n">
        <f aca="false">AJ12-AJ15</f>
        <v>-324070849.7</v>
      </c>
      <c r="AK16" s="40" t="n">
        <f aca="false">AK12-AK15</f>
        <v>-324070849.7</v>
      </c>
      <c r="AL16" s="40" t="n">
        <f aca="false">AL12-AL15</f>
        <v>23315321.4399999</v>
      </c>
      <c r="AM16" s="40" t="n">
        <f aca="false">AM12-AM15</f>
        <v>-20723678.5600001</v>
      </c>
      <c r="AN16" s="40" t="n">
        <f aca="false">AN12-AN15</f>
        <v>-84439678.5600001</v>
      </c>
      <c r="AO16" s="40" t="n">
        <f aca="false">AO12-AO15</f>
        <v>-178139678.56</v>
      </c>
      <c r="AP16" s="40" t="n">
        <f aca="false">AP12-AP15</f>
        <v>-224989678.56</v>
      </c>
      <c r="AQ16" s="40" t="n">
        <f aca="false">AQ12-AQ15</f>
        <v>-318689678.56</v>
      </c>
      <c r="AR16" s="40" t="n">
        <f aca="false">AR12-AR15</f>
        <v>-318689678.56</v>
      </c>
      <c r="AS16" s="40" t="n">
        <f aca="false">AS12-AS15</f>
        <v>28696492.5799999</v>
      </c>
      <c r="AT16" s="40" t="n">
        <f aca="false">AT12-AT15</f>
        <v>-15342507.4200001</v>
      </c>
      <c r="AU16" s="40" t="n">
        <f aca="false">AU12-AU15</f>
        <v>-79058507.4200001</v>
      </c>
      <c r="AV16" s="40" t="n">
        <f aca="false">AV12-AV15</f>
        <v>-172758507.42</v>
      </c>
      <c r="AW16" s="40" t="n">
        <f aca="false">AW12-AW15</f>
        <v>-219608507.42</v>
      </c>
      <c r="AX16" s="40" t="n">
        <f aca="false">AX12-AX15</f>
        <v>-313308507.42</v>
      </c>
      <c r="AY16" s="40" t="n">
        <f aca="false">AY12-AY15</f>
        <v>-313308507.42</v>
      </c>
    </row>
    <row r="17" customFormat="false" ht="21.75" hidden="false" customHeight="true" outlineLevel="0" collapsed="false">
      <c r="B17" s="41" t="s">
        <v>95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</row>
    <row r="19" customFormat="false" ht="18" hidden="false" customHeight="true" outlineLevel="0" collapsed="false">
      <c r="B19" s="6" t="s">
        <v>96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customFormat="false" ht="16.5" hidden="false" customHeight="true" outlineLevel="0" collapsed="false">
      <c r="B20" s="42" t="s">
        <v>97</v>
      </c>
      <c r="C20" s="43" t="n">
        <f aca="false">Inputs!$C$11/Inputs!$C$12</f>
        <v>2.11425682507583</v>
      </c>
      <c r="D20" s="43" t="n">
        <f aca="false">Inputs!$C$11/Inputs!$C$12</f>
        <v>2.11425682507583</v>
      </c>
      <c r="E20" s="43" t="n">
        <f aca="false">Inputs!$C$11/Inputs!$C$12</f>
        <v>2.11425682507583</v>
      </c>
      <c r="F20" s="43" t="n">
        <f aca="false">Inputs!$C$11/Inputs!$C$12</f>
        <v>2.11425682507583</v>
      </c>
      <c r="G20" s="43" t="n">
        <f aca="false">Inputs!$C$11/Inputs!$C$12</f>
        <v>2.11425682507583</v>
      </c>
      <c r="H20" s="43" t="n">
        <f aca="false">Inputs!$C$11/Inputs!$C$12</f>
        <v>2.11425682507583</v>
      </c>
      <c r="I20" s="43" t="n">
        <f aca="false">Inputs!$C$11/Inputs!$C$12</f>
        <v>2.11425682507583</v>
      </c>
      <c r="J20" s="43" t="n">
        <f aca="false">Inputs!$C$11/Inputs!$C$12</f>
        <v>2.11425682507583</v>
      </c>
      <c r="K20" s="43" t="n">
        <f aca="false">Inputs!$C$11/Inputs!$C$12</f>
        <v>2.11425682507583</v>
      </c>
      <c r="L20" s="43" t="n">
        <f aca="false">Inputs!$C$11/Inputs!$C$12</f>
        <v>2.11425682507583</v>
      </c>
      <c r="M20" s="43" t="n">
        <f aca="false">Inputs!$C$11/Inputs!$C$12</f>
        <v>2.11425682507583</v>
      </c>
      <c r="N20" s="43" t="n">
        <f aca="false">Inputs!$C$11/Inputs!$C$12</f>
        <v>2.11425682507583</v>
      </c>
      <c r="O20" s="43" t="n">
        <f aca="false">Inputs!$C$11/Inputs!$C$12</f>
        <v>2.11425682507583</v>
      </c>
      <c r="P20" s="43" t="n">
        <f aca="false">Inputs!$C$11/Inputs!$C$12</f>
        <v>2.11425682507583</v>
      </c>
      <c r="Q20" s="43" t="n">
        <f aca="false">Inputs!$C$11/Inputs!$C$12</f>
        <v>2.11425682507583</v>
      </c>
      <c r="R20" s="43" t="n">
        <f aca="false">Inputs!$C$11/Inputs!$C$12</f>
        <v>2.11425682507583</v>
      </c>
      <c r="S20" s="43" t="n">
        <f aca="false">Inputs!$C$11/Inputs!$C$12</f>
        <v>2.11425682507583</v>
      </c>
      <c r="T20" s="43" t="n">
        <f aca="false">Inputs!$C$11/Inputs!$C$12</f>
        <v>2.11425682507583</v>
      </c>
      <c r="U20" s="43" t="n">
        <f aca="false">Inputs!$C$11/Inputs!$C$12</f>
        <v>2.11425682507583</v>
      </c>
      <c r="V20" s="43" t="n">
        <f aca="false">Inputs!$C$11/Inputs!$C$12</f>
        <v>2.11425682507583</v>
      </c>
      <c r="W20" s="43" t="n">
        <f aca="false">Inputs!$C$11/Inputs!$C$12</f>
        <v>2.11425682507583</v>
      </c>
      <c r="X20" s="43" t="n">
        <f aca="false">Inputs!$C$11/Inputs!$C$12</f>
        <v>2.11425682507583</v>
      </c>
      <c r="Y20" s="43" t="n">
        <f aca="false">Inputs!$C$11/Inputs!$C$12</f>
        <v>2.11425682507583</v>
      </c>
      <c r="Z20" s="43" t="n">
        <f aca="false">Inputs!$C$11/Inputs!$C$12</f>
        <v>2.11425682507583</v>
      </c>
      <c r="AA20" s="43" t="n">
        <f aca="false">Inputs!$C$11/Inputs!$C$12</f>
        <v>2.11425682507583</v>
      </c>
      <c r="AB20" s="43" t="n">
        <f aca="false">Inputs!$C$11/Inputs!$C$12</f>
        <v>2.11425682507583</v>
      </c>
      <c r="AC20" s="43" t="n">
        <f aca="false">Inputs!$C$11/Inputs!$C$12</f>
        <v>2.11425682507583</v>
      </c>
      <c r="AD20" s="43" t="n">
        <f aca="false">Inputs!$C$11/Inputs!$C$12</f>
        <v>2.11425682507583</v>
      </c>
      <c r="AE20" s="43" t="n">
        <f aca="false">Inputs!$C$11/Inputs!$C$12</f>
        <v>2.11425682507583</v>
      </c>
      <c r="AF20" s="43" t="n">
        <f aca="false">Inputs!$C$11/Inputs!$C$12</f>
        <v>2.11425682507583</v>
      </c>
      <c r="AG20" s="43" t="n">
        <f aca="false">Inputs!$C$11/Inputs!$C$12</f>
        <v>2.11425682507583</v>
      </c>
      <c r="AH20" s="43" t="n">
        <f aca="false">Inputs!$C$11/Inputs!$C$12</f>
        <v>2.11425682507583</v>
      </c>
      <c r="AI20" s="43" t="n">
        <f aca="false">Inputs!$C$11/Inputs!$C$12</f>
        <v>2.11425682507583</v>
      </c>
      <c r="AJ20" s="43" t="n">
        <f aca="false">Inputs!$C$11/Inputs!$C$12</f>
        <v>2.11425682507583</v>
      </c>
      <c r="AK20" s="43" t="n">
        <f aca="false">Inputs!$C$11/Inputs!$C$12</f>
        <v>2.11425682507583</v>
      </c>
      <c r="AL20" s="43" t="n">
        <f aca="false">Inputs!$C$11/Inputs!$C$12</f>
        <v>2.11425682507583</v>
      </c>
      <c r="AM20" s="43" t="n">
        <f aca="false">Inputs!$C$11/Inputs!$C$12</f>
        <v>2.11425682507583</v>
      </c>
      <c r="AN20" s="43" t="n">
        <f aca="false">Inputs!$C$11/Inputs!$C$12</f>
        <v>2.11425682507583</v>
      </c>
      <c r="AO20" s="43" t="n">
        <f aca="false">Inputs!$C$11/Inputs!$C$12</f>
        <v>2.11425682507583</v>
      </c>
      <c r="AP20" s="43" t="n">
        <f aca="false">Inputs!$C$11/Inputs!$C$12</f>
        <v>2.11425682507583</v>
      </c>
      <c r="AQ20" s="43" t="n">
        <f aca="false">Inputs!$C$11/Inputs!$C$12</f>
        <v>2.11425682507583</v>
      </c>
      <c r="AR20" s="43" t="n">
        <f aca="false">Inputs!$C$11/Inputs!$C$12</f>
        <v>2.11425682507583</v>
      </c>
      <c r="AS20" s="43" t="n">
        <f aca="false">Inputs!$C$11/Inputs!$C$12</f>
        <v>2.11425682507583</v>
      </c>
      <c r="AT20" s="43" t="n">
        <f aca="false">Inputs!$C$11/Inputs!$C$12</f>
        <v>2.11425682507583</v>
      </c>
      <c r="AU20" s="43" t="n">
        <f aca="false">Inputs!$C$11/Inputs!$C$12</f>
        <v>2.11425682507583</v>
      </c>
      <c r="AV20" s="43" t="n">
        <f aca="false">Inputs!$C$11/Inputs!$C$12</f>
        <v>2.11425682507583</v>
      </c>
      <c r="AW20" s="43" t="n">
        <f aca="false">Inputs!$C$11/Inputs!$C$12</f>
        <v>2.11425682507583</v>
      </c>
      <c r="AX20" s="43" t="n">
        <f aca="false">Inputs!$C$11/Inputs!$C$12</f>
        <v>2.11425682507583</v>
      </c>
      <c r="AY20" s="43" t="n">
        <f aca="false">Inputs!$C$11/Inputs!$C$12</f>
        <v>2.11425682507583</v>
      </c>
    </row>
    <row r="21" customFormat="false" ht="16.5" hidden="false" customHeight="true" outlineLevel="0" collapsed="false">
      <c r="B21" s="7" t="s">
        <v>98</v>
      </c>
      <c r="C21" s="38" t="n">
        <f aca="false">Inputs!$C$7-0.5*Inputs!$C$9</f>
        <v>588552483.755</v>
      </c>
      <c r="D21" s="38" t="n">
        <f aca="false">Inputs!$C$7-0.5*Inputs!$C$9</f>
        <v>588552483.755</v>
      </c>
      <c r="E21" s="38" t="n">
        <f aca="false">Inputs!$C$7-0.5*Inputs!$C$9</f>
        <v>588552483.755</v>
      </c>
      <c r="F21" s="38" t="n">
        <f aca="false">Inputs!$C$7-0.5*Inputs!$C$9</f>
        <v>588552483.755</v>
      </c>
      <c r="G21" s="38" t="n">
        <f aca="false">Inputs!$C$7-0.5*Inputs!$C$9</f>
        <v>588552483.755</v>
      </c>
      <c r="H21" s="38" t="n">
        <f aca="false">Inputs!$C$7-0.5*Inputs!$C$9</f>
        <v>588552483.755</v>
      </c>
      <c r="I21" s="38" t="n">
        <f aca="false">Inputs!$C$7-0.5*Inputs!$C$9</f>
        <v>588552483.755</v>
      </c>
      <c r="J21" s="38" t="n">
        <f aca="false">Inputs!$C$7-1*Inputs!$C$9</f>
        <v>582537337.91</v>
      </c>
      <c r="K21" s="38" t="n">
        <f aca="false">Inputs!$C$7-1*Inputs!$C$9</f>
        <v>582537337.91</v>
      </c>
      <c r="L21" s="38" t="n">
        <f aca="false">Inputs!$C$7-1*Inputs!$C$9</f>
        <v>582537337.91</v>
      </c>
      <c r="M21" s="38" t="n">
        <f aca="false">Inputs!$C$7-1*Inputs!$C$9</f>
        <v>582537337.91</v>
      </c>
      <c r="N21" s="38" t="n">
        <f aca="false">Inputs!$C$7-1*Inputs!$C$9</f>
        <v>582537337.91</v>
      </c>
      <c r="O21" s="38" t="n">
        <f aca="false">Inputs!$C$7-1*Inputs!$C$9</f>
        <v>582537337.91</v>
      </c>
      <c r="P21" s="38" t="n">
        <f aca="false">Inputs!$C$7-1*Inputs!$C$9</f>
        <v>582537337.91</v>
      </c>
      <c r="Q21" s="38" t="n">
        <f aca="false">Inputs!$C$7-1.5*Inputs!$C$9</f>
        <v>576522192.065</v>
      </c>
      <c r="R21" s="38" t="n">
        <f aca="false">Inputs!$C$7-1.5*Inputs!$C$9</f>
        <v>576522192.065</v>
      </c>
      <c r="S21" s="38" t="n">
        <f aca="false">Inputs!$C$7-1.5*Inputs!$C$9</f>
        <v>576522192.065</v>
      </c>
      <c r="T21" s="38" t="n">
        <f aca="false">Inputs!$C$7-1.5*Inputs!$C$9</f>
        <v>576522192.065</v>
      </c>
      <c r="U21" s="38" t="n">
        <f aca="false">Inputs!$C$7-1.5*Inputs!$C$9</f>
        <v>576522192.065</v>
      </c>
      <c r="V21" s="38" t="n">
        <f aca="false">Inputs!$C$7-1.5*Inputs!$C$9</f>
        <v>576522192.065</v>
      </c>
      <c r="W21" s="38" t="n">
        <f aca="false">Inputs!$C$7-1.5*Inputs!$C$9</f>
        <v>576522192.065</v>
      </c>
      <c r="X21" s="38" t="n">
        <f aca="false">Inputs!$C$7-2.5*Inputs!$C$9</f>
        <v>564491900.375</v>
      </c>
      <c r="Y21" s="38" t="n">
        <f aca="false">Inputs!$C$7-2.5*Inputs!$C$9</f>
        <v>564491900.375</v>
      </c>
      <c r="Z21" s="38" t="n">
        <f aca="false">Inputs!$C$7-2.5*Inputs!$C$9</f>
        <v>564491900.375</v>
      </c>
      <c r="AA21" s="38" t="n">
        <f aca="false">Inputs!$C$7-2.5*Inputs!$C$9</f>
        <v>564491900.375</v>
      </c>
      <c r="AB21" s="38" t="n">
        <f aca="false">Inputs!$C$7-2.5*Inputs!$C$9</f>
        <v>564491900.375</v>
      </c>
      <c r="AC21" s="38" t="n">
        <f aca="false">Inputs!$C$7-2.5*Inputs!$C$9</f>
        <v>564491900.375</v>
      </c>
      <c r="AD21" s="38" t="n">
        <f aca="false">Inputs!$C$7-2.5*Inputs!$C$9</f>
        <v>564491900.375</v>
      </c>
      <c r="AE21" s="38" t="n">
        <f aca="false">Inputs!$C$7-3*Inputs!$C$9</f>
        <v>558476754.53</v>
      </c>
      <c r="AF21" s="38" t="n">
        <f aca="false">Inputs!$C$7-3*Inputs!$C$9</f>
        <v>558476754.53</v>
      </c>
      <c r="AG21" s="38" t="n">
        <f aca="false">Inputs!$C$7-3*Inputs!$C$9</f>
        <v>558476754.53</v>
      </c>
      <c r="AH21" s="38" t="n">
        <f aca="false">Inputs!$C$7-3*Inputs!$C$9</f>
        <v>558476754.53</v>
      </c>
      <c r="AI21" s="38" t="n">
        <f aca="false">Inputs!$C$7-3*Inputs!$C$9</f>
        <v>558476754.53</v>
      </c>
      <c r="AJ21" s="38" t="n">
        <f aca="false">Inputs!$C$7-3*Inputs!$C$9</f>
        <v>558476754.53</v>
      </c>
      <c r="AK21" s="38" t="n">
        <f aca="false">Inputs!$C$7-3*Inputs!$C$9</f>
        <v>558476754.53</v>
      </c>
      <c r="AL21" s="38" t="n">
        <f aca="false">Inputs!$C$7-4*Inputs!$C$9</f>
        <v>546446462.84</v>
      </c>
      <c r="AM21" s="38" t="n">
        <f aca="false">Inputs!$C$7-4*Inputs!$C$9</f>
        <v>546446462.84</v>
      </c>
      <c r="AN21" s="38" t="n">
        <f aca="false">Inputs!$C$7-4*Inputs!$C$9</f>
        <v>546446462.84</v>
      </c>
      <c r="AO21" s="38" t="n">
        <f aca="false">Inputs!$C$7-4*Inputs!$C$9</f>
        <v>546446462.84</v>
      </c>
      <c r="AP21" s="38" t="n">
        <f aca="false">Inputs!$C$7-4*Inputs!$C$9</f>
        <v>546446462.84</v>
      </c>
      <c r="AQ21" s="38" t="n">
        <f aca="false">Inputs!$C$7-4*Inputs!$C$9</f>
        <v>546446462.84</v>
      </c>
      <c r="AR21" s="38" t="n">
        <f aca="false">Inputs!$C$7-4*Inputs!$C$9</f>
        <v>546446462.84</v>
      </c>
      <c r="AS21" s="38" t="n">
        <f aca="false">Inputs!$C$7-5*Inputs!$C$9</f>
        <v>534416171.15</v>
      </c>
      <c r="AT21" s="38" t="n">
        <f aca="false">Inputs!$C$7-5*Inputs!$C$9</f>
        <v>534416171.15</v>
      </c>
      <c r="AU21" s="38" t="n">
        <f aca="false">Inputs!$C$7-5*Inputs!$C$9</f>
        <v>534416171.15</v>
      </c>
      <c r="AV21" s="38" t="n">
        <f aca="false">Inputs!$C$7-5*Inputs!$C$9</f>
        <v>534416171.15</v>
      </c>
      <c r="AW21" s="38" t="n">
        <f aca="false">Inputs!$C$7-5*Inputs!$C$9</f>
        <v>534416171.15</v>
      </c>
      <c r="AX21" s="38" t="n">
        <f aca="false">Inputs!$C$7-5*Inputs!$C$9</f>
        <v>534416171.15</v>
      </c>
      <c r="AY21" s="38" t="n">
        <f aca="false">Inputs!$C$7-5*Inputs!$C$9</f>
        <v>534416171.15</v>
      </c>
    </row>
    <row r="22" customFormat="false" ht="16.5" hidden="false" customHeight="true" outlineLevel="0" collapsed="false">
      <c r="B22" s="7" t="s">
        <v>99</v>
      </c>
      <c r="C22" s="38" t="n">
        <f aca="false">C12-C21</f>
        <v>28691144.045</v>
      </c>
      <c r="D22" s="38" t="n">
        <f aca="false">D12-D21</f>
        <v>-15347855.955</v>
      </c>
      <c r="E22" s="38" t="n">
        <f aca="false">E12-E21</f>
        <v>-79063855.955</v>
      </c>
      <c r="F22" s="38" t="n">
        <f aca="false">F12-F21</f>
        <v>-172763855.955</v>
      </c>
      <c r="G22" s="38" t="n">
        <f aca="false">G12-G21</f>
        <v>-219613855.955</v>
      </c>
      <c r="H22" s="38" t="n">
        <f aca="false">H12-H21</f>
        <v>-313313855.955</v>
      </c>
      <c r="I22" s="38" t="n">
        <f aca="false">I12-I21</f>
        <v>-313313855.955</v>
      </c>
      <c r="J22" s="38" t="n">
        <f aca="false">J12-J21</f>
        <v>34751614.8100001</v>
      </c>
      <c r="K22" s="38" t="n">
        <f aca="false">K12-K21</f>
        <v>-9287385.18999994</v>
      </c>
      <c r="L22" s="38" t="n">
        <f aca="false">L12-L21</f>
        <v>-73003385.1899999</v>
      </c>
      <c r="M22" s="38" t="n">
        <f aca="false">M12-M21</f>
        <v>-166703385.19</v>
      </c>
      <c r="N22" s="38" t="n">
        <f aca="false">N12-N21</f>
        <v>-213553385.19</v>
      </c>
      <c r="O22" s="38" t="n">
        <f aca="false">O12-O21</f>
        <v>-307253385.19</v>
      </c>
      <c r="P22" s="38" t="n">
        <f aca="false">P12-P21</f>
        <v>-307253385.19</v>
      </c>
      <c r="Q22" s="38" t="n">
        <f aca="false">Q12-Q21</f>
        <v>40812085.5749999</v>
      </c>
      <c r="R22" s="38" t="n">
        <f aca="false">R12-R21</f>
        <v>-3226914.42500007</v>
      </c>
      <c r="S22" s="38" t="n">
        <f aca="false">S12-S21</f>
        <v>-66942914.4250001</v>
      </c>
      <c r="T22" s="38" t="n">
        <f aca="false">T12-T21</f>
        <v>-160642914.425</v>
      </c>
      <c r="U22" s="38" t="n">
        <f aca="false">U12-U21</f>
        <v>-207492914.425</v>
      </c>
      <c r="V22" s="38" t="n">
        <f aca="false">V12-V21</f>
        <v>-301192914.425</v>
      </c>
      <c r="W22" s="38" t="n">
        <f aca="false">W12-W21</f>
        <v>-301192914.425</v>
      </c>
      <c r="X22" s="38" t="n">
        <f aca="false">X12-X21</f>
        <v>52933027.105</v>
      </c>
      <c r="Y22" s="38" t="n">
        <f aca="false">Y12-Y21</f>
        <v>8894027.10500002</v>
      </c>
      <c r="Z22" s="38" t="n">
        <f aca="false">Z12-Z21</f>
        <v>-54821972.895</v>
      </c>
      <c r="AA22" s="38" t="n">
        <f aca="false">AA12-AA21</f>
        <v>-148521972.895</v>
      </c>
      <c r="AB22" s="38" t="n">
        <f aca="false">AB12-AB21</f>
        <v>-195371972.895</v>
      </c>
      <c r="AC22" s="38" t="n">
        <f aca="false">AC12-AC21</f>
        <v>-289071972.895</v>
      </c>
      <c r="AD22" s="38" t="n">
        <f aca="false">AD12-AD21</f>
        <v>-289071972.895</v>
      </c>
      <c r="AE22" s="38" t="n">
        <f aca="false">AE12-AE21</f>
        <v>59038822.7900001</v>
      </c>
      <c r="AF22" s="38" t="n">
        <f aca="false">AF12-AF21</f>
        <v>14999822.7900001</v>
      </c>
      <c r="AG22" s="38" t="n">
        <f aca="false">AG12-AG21</f>
        <v>-48716177.2099999</v>
      </c>
      <c r="AH22" s="38" t="n">
        <f aca="false">AH12-AH21</f>
        <v>-142416177.21</v>
      </c>
      <c r="AI22" s="38" t="n">
        <f aca="false">AI12-AI21</f>
        <v>-189266177.21</v>
      </c>
      <c r="AJ22" s="38" t="n">
        <f aca="false">AJ12-AJ21</f>
        <v>-282966177.21</v>
      </c>
      <c r="AK22" s="38" t="n">
        <f aca="false">AK12-AK21</f>
        <v>-282966177.21</v>
      </c>
      <c r="AL22" s="38" t="n">
        <f aca="false">AL12-AL21</f>
        <v>71159764.3199999</v>
      </c>
      <c r="AM22" s="38" t="n">
        <f aca="false">AM12-AM21</f>
        <v>27120764.3199999</v>
      </c>
      <c r="AN22" s="38" t="n">
        <f aca="false">AN12-AN21</f>
        <v>-36595235.6800001</v>
      </c>
      <c r="AO22" s="38" t="n">
        <f aca="false">AO12-AO21</f>
        <v>-130295235.68</v>
      </c>
      <c r="AP22" s="38" t="n">
        <f aca="false">AP12-AP21</f>
        <v>-177145235.68</v>
      </c>
      <c r="AQ22" s="38" t="n">
        <f aca="false">AQ12-AQ21</f>
        <v>-270845235.68</v>
      </c>
      <c r="AR22" s="38" t="n">
        <f aca="false">AR12-AR21</f>
        <v>-270845235.68</v>
      </c>
      <c r="AS22" s="38" t="n">
        <f aca="false">AS12-AS21</f>
        <v>83280705.85</v>
      </c>
      <c r="AT22" s="38" t="n">
        <f aca="false">AT12-AT21</f>
        <v>39241705.85</v>
      </c>
      <c r="AU22" s="38" t="n">
        <f aca="false">AU12-AU21</f>
        <v>-24474294.15</v>
      </c>
      <c r="AV22" s="38" t="n">
        <f aca="false">AV12-AV21</f>
        <v>-118174294.15</v>
      </c>
      <c r="AW22" s="38" t="n">
        <f aca="false">AW12-AW21</f>
        <v>-165024294.15</v>
      </c>
      <c r="AX22" s="38" t="n">
        <f aca="false">AX12-AX21</f>
        <v>-258724294.15</v>
      </c>
      <c r="AY22" s="38" t="n">
        <f aca="false">AY12-AY21</f>
        <v>-258724294.15</v>
      </c>
    </row>
    <row r="23" customFormat="false" ht="16.5" hidden="false" customHeight="true" outlineLevel="0" collapsed="false">
      <c r="B23" s="7" t="s">
        <v>100</v>
      </c>
      <c r="C23" s="12" t="n">
        <f aca="false">Inputs!$C$11+C22/1000000</f>
        <v>2119.691144045</v>
      </c>
      <c r="D23" s="12" t="n">
        <f aca="false">Inputs!$C$11+D22/1000000</f>
        <v>2075.652144045</v>
      </c>
      <c r="E23" s="12" t="n">
        <f aca="false">Inputs!$C$11+E22/1000000</f>
        <v>2011.936144045</v>
      </c>
      <c r="F23" s="12" t="n">
        <f aca="false">Inputs!$C$11+F22/1000000</f>
        <v>1918.236144045</v>
      </c>
      <c r="G23" s="12" t="n">
        <f aca="false">Inputs!$C$11+G22/1000000</f>
        <v>1871.386144045</v>
      </c>
      <c r="H23" s="12" t="n">
        <f aca="false">Inputs!$C$11+H22/1000000</f>
        <v>1777.686144045</v>
      </c>
      <c r="I23" s="12" t="n">
        <f aca="false">Inputs!$C$11+I22/1000000</f>
        <v>1777.686144045</v>
      </c>
      <c r="J23" s="12" t="n">
        <f aca="false">Inputs!$C$11+J22/1000000</f>
        <v>2125.75161481</v>
      </c>
      <c r="K23" s="12" t="n">
        <f aca="false">Inputs!$C$11+K22/1000000</f>
        <v>2081.71261481</v>
      </c>
      <c r="L23" s="12" t="n">
        <f aca="false">Inputs!$C$11+L22/1000000</f>
        <v>2017.99661481</v>
      </c>
      <c r="M23" s="12" t="n">
        <f aca="false">Inputs!$C$11+M22/1000000</f>
        <v>1924.29661481</v>
      </c>
      <c r="N23" s="12" t="n">
        <f aca="false">Inputs!$C$11+N22/1000000</f>
        <v>1877.44661481</v>
      </c>
      <c r="O23" s="12" t="n">
        <f aca="false">Inputs!$C$11+O22/1000000</f>
        <v>1783.74661481</v>
      </c>
      <c r="P23" s="12" t="n">
        <f aca="false">Inputs!$C$11+P22/1000000</f>
        <v>1783.74661481</v>
      </c>
      <c r="Q23" s="12" t="n">
        <f aca="false">Inputs!$C$11+Q22/1000000</f>
        <v>2131.812085575</v>
      </c>
      <c r="R23" s="12" t="n">
        <f aca="false">Inputs!$C$11+R22/1000000</f>
        <v>2087.773085575</v>
      </c>
      <c r="S23" s="12" t="n">
        <f aca="false">Inputs!$C$11+S22/1000000</f>
        <v>2024.057085575</v>
      </c>
      <c r="T23" s="12" t="n">
        <f aca="false">Inputs!$C$11+T22/1000000</f>
        <v>1930.357085575</v>
      </c>
      <c r="U23" s="12" t="n">
        <f aca="false">Inputs!$C$11+U22/1000000</f>
        <v>1883.507085575</v>
      </c>
      <c r="V23" s="12" t="n">
        <f aca="false">Inputs!$C$11+V22/1000000</f>
        <v>1789.807085575</v>
      </c>
      <c r="W23" s="12" t="n">
        <f aca="false">Inputs!$C$11+W22/1000000</f>
        <v>1789.807085575</v>
      </c>
      <c r="X23" s="12" t="n">
        <f aca="false">Inputs!$C$11+X22/1000000</f>
        <v>2143.933027105</v>
      </c>
      <c r="Y23" s="12" t="n">
        <f aca="false">Inputs!$C$11+Y22/1000000</f>
        <v>2099.894027105</v>
      </c>
      <c r="Z23" s="12" t="n">
        <f aca="false">Inputs!$C$11+Z22/1000000</f>
        <v>2036.178027105</v>
      </c>
      <c r="AA23" s="12" t="n">
        <f aca="false">Inputs!$C$11+AA22/1000000</f>
        <v>1942.478027105</v>
      </c>
      <c r="AB23" s="12" t="n">
        <f aca="false">Inputs!$C$11+AB22/1000000</f>
        <v>1895.628027105</v>
      </c>
      <c r="AC23" s="12" t="n">
        <f aca="false">Inputs!$C$11+AC22/1000000</f>
        <v>1801.928027105</v>
      </c>
      <c r="AD23" s="12" t="n">
        <f aca="false">Inputs!$C$11+AD22/1000000</f>
        <v>1801.928027105</v>
      </c>
      <c r="AE23" s="12" t="n">
        <f aca="false">Inputs!$C$11+AE22/1000000</f>
        <v>2150.03882279</v>
      </c>
      <c r="AF23" s="12" t="n">
        <f aca="false">Inputs!$C$11+AF22/1000000</f>
        <v>2105.99982279</v>
      </c>
      <c r="AG23" s="12" t="n">
        <f aca="false">Inputs!$C$11+AG22/1000000</f>
        <v>2042.28382279</v>
      </c>
      <c r="AH23" s="12" t="n">
        <f aca="false">Inputs!$C$11+AH22/1000000</f>
        <v>1948.58382279</v>
      </c>
      <c r="AI23" s="12" t="n">
        <f aca="false">Inputs!$C$11+AI22/1000000</f>
        <v>1901.73382279</v>
      </c>
      <c r="AJ23" s="12" t="n">
        <f aca="false">Inputs!$C$11+AJ22/1000000</f>
        <v>1808.03382279</v>
      </c>
      <c r="AK23" s="12" t="n">
        <f aca="false">Inputs!$C$11+AK22/1000000</f>
        <v>1808.03382279</v>
      </c>
      <c r="AL23" s="12" t="n">
        <f aca="false">Inputs!$C$11+AL22/1000000</f>
        <v>2162.15976432</v>
      </c>
      <c r="AM23" s="12" t="n">
        <f aca="false">Inputs!$C$11+AM22/1000000</f>
        <v>2118.12076432</v>
      </c>
      <c r="AN23" s="12" t="n">
        <f aca="false">Inputs!$C$11+AN22/1000000</f>
        <v>2054.40476432</v>
      </c>
      <c r="AO23" s="12" t="n">
        <f aca="false">Inputs!$C$11+AO22/1000000</f>
        <v>1960.70476432</v>
      </c>
      <c r="AP23" s="12" t="n">
        <f aca="false">Inputs!$C$11+AP22/1000000</f>
        <v>1913.85476432</v>
      </c>
      <c r="AQ23" s="12" t="n">
        <f aca="false">Inputs!$C$11+AQ22/1000000</f>
        <v>1820.15476432</v>
      </c>
      <c r="AR23" s="12" t="n">
        <f aca="false">Inputs!$C$11+AR22/1000000</f>
        <v>1820.15476432</v>
      </c>
      <c r="AS23" s="12" t="n">
        <f aca="false">Inputs!$C$11+AS22/1000000</f>
        <v>2174.28070585</v>
      </c>
      <c r="AT23" s="12" t="n">
        <f aca="false">Inputs!$C$11+AT22/1000000</f>
        <v>2130.24170585</v>
      </c>
      <c r="AU23" s="12" t="n">
        <f aca="false">Inputs!$C$11+AU22/1000000</f>
        <v>2066.52570585</v>
      </c>
      <c r="AV23" s="12" t="n">
        <f aca="false">Inputs!$C$11+AV22/1000000</f>
        <v>1972.82570585</v>
      </c>
      <c r="AW23" s="12" t="n">
        <f aca="false">Inputs!$C$11+AW22/1000000</f>
        <v>1925.97570585</v>
      </c>
      <c r="AX23" s="12" t="n">
        <f aca="false">Inputs!$C$11+AX22/1000000</f>
        <v>1832.27570585</v>
      </c>
      <c r="AY23" s="12" t="n">
        <f aca="false">Inputs!$C$11+AY22/1000000</f>
        <v>1832.27570585</v>
      </c>
    </row>
    <row r="24" customFormat="false" ht="30" hidden="false" customHeight="true" outlineLevel="0" collapsed="false">
      <c r="B24" s="44" t="s">
        <v>101</v>
      </c>
      <c r="C24" s="45" t="n">
        <f aca="false">(Inputs!$C$12*1000000-Inputs!$C$13)/1000000</f>
        <v>932.516075188</v>
      </c>
      <c r="D24" s="45" t="n">
        <f aca="false">(Inputs!$C$12*1000000-Inputs!$C$13)/1000000</f>
        <v>932.516075188</v>
      </c>
      <c r="E24" s="45" t="n">
        <f aca="false">(Inputs!$C$12*1000000-Inputs!$C$13)/1000000</f>
        <v>932.516075188</v>
      </c>
      <c r="F24" s="45" t="n">
        <f aca="false">(Inputs!$C$12*1000000-Inputs!$C$13)/1000000</f>
        <v>932.516075188</v>
      </c>
      <c r="G24" s="45" t="n">
        <f aca="false">(Inputs!$C$12*1000000-Inputs!$C$13)/1000000</f>
        <v>932.516075188</v>
      </c>
      <c r="H24" s="45" t="n">
        <f aca="false">(Inputs!$C$12*1000000-Inputs!$C$13)/1000000</f>
        <v>932.516075188</v>
      </c>
      <c r="I24" s="45" t="n">
        <f aca="false">(Inputs!$C$12*1000000-Inputs!$C$13)/1000000</f>
        <v>932.516075188</v>
      </c>
      <c r="J24" s="45" t="n">
        <f aca="false">(Inputs!$C$12*1000000-Inputs!$C$13)/1000000</f>
        <v>932.516075188</v>
      </c>
      <c r="K24" s="45" t="n">
        <f aca="false">(Inputs!$C$12*1000000-Inputs!$C$13)/1000000</f>
        <v>932.516075188</v>
      </c>
      <c r="L24" s="45" t="n">
        <f aca="false">(Inputs!$C$12*1000000-Inputs!$C$13)/1000000</f>
        <v>932.516075188</v>
      </c>
      <c r="M24" s="45" t="n">
        <f aca="false">(Inputs!$C$12*1000000-Inputs!$C$13)/1000000</f>
        <v>932.516075188</v>
      </c>
      <c r="N24" s="45" t="n">
        <f aca="false">(Inputs!$C$12*1000000-Inputs!$C$13)/1000000</f>
        <v>932.516075188</v>
      </c>
      <c r="O24" s="45" t="n">
        <f aca="false">(Inputs!$C$12*1000000-Inputs!$C$13)/1000000</f>
        <v>932.516075188</v>
      </c>
      <c r="P24" s="45" t="n">
        <f aca="false">(Inputs!$C$12*1000000-Inputs!$C$13)/1000000</f>
        <v>932.516075188</v>
      </c>
      <c r="Q24" s="45" t="n">
        <f aca="false">(Inputs!$C$12*1000000-Inputs!$C$13)/1000000</f>
        <v>932.516075188</v>
      </c>
      <c r="R24" s="45" t="n">
        <f aca="false">(Inputs!$C$12*1000000-Inputs!$C$13)/1000000</f>
        <v>932.516075188</v>
      </c>
      <c r="S24" s="45" t="n">
        <f aca="false">(Inputs!$C$12*1000000-Inputs!$C$13)/1000000</f>
        <v>932.516075188</v>
      </c>
      <c r="T24" s="45" t="n">
        <f aca="false">(Inputs!$C$12*1000000-Inputs!$C$13)/1000000</f>
        <v>932.516075188</v>
      </c>
      <c r="U24" s="45" t="n">
        <f aca="false">(Inputs!$C$12*1000000-Inputs!$C$13)/1000000</f>
        <v>932.516075188</v>
      </c>
      <c r="V24" s="45" t="n">
        <f aca="false">(Inputs!$C$12*1000000-Inputs!$C$13)/1000000</f>
        <v>932.516075188</v>
      </c>
      <c r="W24" s="45" t="n">
        <f aca="false">(Inputs!$C$12*1000000-Inputs!$C$13)/1000000</f>
        <v>932.516075188</v>
      </c>
      <c r="X24" s="45" t="n">
        <f aca="false">(Inputs!$C$12*1000000-Inputs!$C$13)/1000000</f>
        <v>932.516075188</v>
      </c>
      <c r="Y24" s="45" t="n">
        <f aca="false">(Inputs!$C$12*1000000-Inputs!$C$13)/1000000</f>
        <v>932.516075188</v>
      </c>
      <c r="Z24" s="45" t="n">
        <f aca="false">(Inputs!$C$12*1000000-Inputs!$C$13)/1000000</f>
        <v>932.516075188</v>
      </c>
      <c r="AA24" s="45" t="n">
        <f aca="false">(Inputs!$C$12*1000000-Inputs!$C$13)/1000000</f>
        <v>932.516075188</v>
      </c>
      <c r="AB24" s="45" t="n">
        <f aca="false">(Inputs!$C$12*1000000-Inputs!$C$13)/1000000</f>
        <v>932.516075188</v>
      </c>
      <c r="AC24" s="45" t="n">
        <f aca="false">(Inputs!$C$12*1000000-Inputs!$C$13)/1000000</f>
        <v>932.516075188</v>
      </c>
      <c r="AD24" s="45" t="n">
        <f aca="false">(Inputs!$C$12*1000000-Inputs!$C$13)/1000000</f>
        <v>932.516075188</v>
      </c>
      <c r="AE24" s="45" t="n">
        <f aca="false">(Inputs!$C$12*1000000-Inputs!$C$13)/1000000</f>
        <v>932.516075188</v>
      </c>
      <c r="AF24" s="45" t="n">
        <f aca="false">(Inputs!$C$12*1000000-Inputs!$C$13)/1000000</f>
        <v>932.516075188</v>
      </c>
      <c r="AG24" s="45" t="n">
        <f aca="false">(Inputs!$C$12*1000000-Inputs!$C$13)/1000000</f>
        <v>932.516075188</v>
      </c>
      <c r="AH24" s="45" t="n">
        <f aca="false">(Inputs!$C$12*1000000-Inputs!$C$13)/1000000</f>
        <v>932.516075188</v>
      </c>
      <c r="AI24" s="45" t="n">
        <f aca="false">(Inputs!$C$12*1000000-Inputs!$C$13)/1000000</f>
        <v>932.516075188</v>
      </c>
      <c r="AJ24" s="45" t="n">
        <f aca="false">(Inputs!$C$12*1000000-Inputs!$C$13)/1000000</f>
        <v>932.516075188</v>
      </c>
      <c r="AK24" s="45" t="n">
        <f aca="false">(Inputs!$C$12*1000000-Inputs!$C$13)/1000000</f>
        <v>932.516075188</v>
      </c>
      <c r="AL24" s="45" t="n">
        <f aca="false">(Inputs!$C$12*1000000-Inputs!$C$13)/1000000</f>
        <v>932.516075188</v>
      </c>
      <c r="AM24" s="45" t="n">
        <f aca="false">(Inputs!$C$12*1000000-Inputs!$C$13)/1000000</f>
        <v>932.516075188</v>
      </c>
      <c r="AN24" s="45" t="n">
        <f aca="false">(Inputs!$C$12*1000000-Inputs!$C$13)/1000000</f>
        <v>932.516075188</v>
      </c>
      <c r="AO24" s="45" t="n">
        <f aca="false">(Inputs!$C$12*1000000-Inputs!$C$13)/1000000</f>
        <v>932.516075188</v>
      </c>
      <c r="AP24" s="45" t="n">
        <f aca="false">(Inputs!$C$12*1000000-Inputs!$C$13)/1000000</f>
        <v>932.516075188</v>
      </c>
      <c r="AQ24" s="45" t="n">
        <f aca="false">(Inputs!$C$12*1000000-Inputs!$C$13)/1000000</f>
        <v>932.516075188</v>
      </c>
      <c r="AR24" s="45" t="n">
        <f aca="false">(Inputs!$C$12*1000000-Inputs!$C$13)/1000000</f>
        <v>932.516075188</v>
      </c>
      <c r="AS24" s="45" t="n">
        <f aca="false">(Inputs!$C$12*1000000-Inputs!$C$13)/1000000</f>
        <v>932.516075188</v>
      </c>
      <c r="AT24" s="45" t="n">
        <f aca="false">(Inputs!$C$12*1000000-Inputs!$C$13)/1000000</f>
        <v>932.516075188</v>
      </c>
      <c r="AU24" s="45" t="n">
        <f aca="false">(Inputs!$C$12*1000000-Inputs!$C$13)/1000000</f>
        <v>932.516075188</v>
      </c>
      <c r="AV24" s="45" t="n">
        <f aca="false">(Inputs!$C$12*1000000-Inputs!$C$13)/1000000</f>
        <v>932.516075188</v>
      </c>
      <c r="AW24" s="45" t="n">
        <f aca="false">(Inputs!$C$12*1000000-Inputs!$C$13)/1000000</f>
        <v>932.516075188</v>
      </c>
      <c r="AX24" s="45" t="n">
        <f aca="false">(Inputs!$C$12*1000000-Inputs!$C$13)/1000000</f>
        <v>932.516075188</v>
      </c>
      <c r="AY24" s="45" t="n">
        <f aca="false">(Inputs!$C$12*1000000-Inputs!$C$13)/1000000</f>
        <v>932.516075188</v>
      </c>
    </row>
    <row r="25" customFormat="false" ht="16.5" hidden="false" customHeight="true" outlineLevel="0" collapsed="false">
      <c r="B25" s="39" t="s">
        <v>102</v>
      </c>
      <c r="C25" s="46" t="n">
        <f aca="false">C23/C24</f>
        <v>2.27308804689255</v>
      </c>
      <c r="D25" s="46" t="n">
        <f aca="false">D23/D24</f>
        <v>2.22586205136093</v>
      </c>
      <c r="E25" s="46" t="n">
        <f aca="false">E23/E24</f>
        <v>2.1575350791024</v>
      </c>
      <c r="F25" s="46" t="n">
        <f aca="false">F23/F24</f>
        <v>2.05705423754574</v>
      </c>
      <c r="G25" s="46" t="n">
        <f aca="false">G23/G24</f>
        <v>2.00681381676742</v>
      </c>
      <c r="H25" s="46" t="n">
        <f aca="false">H23/H24</f>
        <v>1.90633297521076</v>
      </c>
      <c r="I25" s="46" t="n">
        <f aca="false">I23/I24</f>
        <v>1.90633297521076</v>
      </c>
      <c r="J25" s="46" t="n">
        <f aca="false">J23/J24</f>
        <v>2.27958709921589</v>
      </c>
      <c r="K25" s="46" t="n">
        <f aca="false">K23/K24</f>
        <v>2.23236110368426</v>
      </c>
      <c r="L25" s="46" t="n">
        <f aca="false">L23/L24</f>
        <v>2.16403413142574</v>
      </c>
      <c r="M25" s="46" t="n">
        <f aca="false">M23/M24</f>
        <v>2.06355328986908</v>
      </c>
      <c r="N25" s="46" t="n">
        <f aca="false">N23/N24</f>
        <v>2.01331286909075</v>
      </c>
      <c r="O25" s="46" t="n">
        <f aca="false">O23/O24</f>
        <v>1.9128320275341</v>
      </c>
      <c r="P25" s="46" t="n">
        <f aca="false">P23/P24</f>
        <v>1.9128320275341</v>
      </c>
      <c r="Q25" s="46" t="n">
        <f aca="false">Q23/Q24</f>
        <v>2.28608615153923</v>
      </c>
      <c r="R25" s="46" t="n">
        <f aca="false">R23/R24</f>
        <v>2.2388601560076</v>
      </c>
      <c r="S25" s="46" t="n">
        <f aca="false">S23/S24</f>
        <v>2.17053318374907</v>
      </c>
      <c r="T25" s="46" t="n">
        <f aca="false">T23/T24</f>
        <v>2.07005234219242</v>
      </c>
      <c r="U25" s="46" t="n">
        <f aca="false">U23/U24</f>
        <v>2.01981192141409</v>
      </c>
      <c r="V25" s="46" t="n">
        <f aca="false">V23/V24</f>
        <v>1.91933107985743</v>
      </c>
      <c r="W25" s="46" t="n">
        <f aca="false">W23/W24</f>
        <v>1.91933107985743</v>
      </c>
      <c r="X25" s="46" t="n">
        <f aca="false">X23/X24</f>
        <v>2.2990842561859</v>
      </c>
      <c r="Y25" s="46" t="n">
        <f aca="false">Y23/Y24</f>
        <v>2.25185826065427</v>
      </c>
      <c r="Z25" s="46" t="n">
        <f aca="false">Z23/Z24</f>
        <v>2.18353128839575</v>
      </c>
      <c r="AA25" s="46" t="n">
        <f aca="false">AA23/AA24</f>
        <v>2.08305044683909</v>
      </c>
      <c r="AB25" s="46" t="n">
        <f aca="false">AB23/AB24</f>
        <v>2.03281002606076</v>
      </c>
      <c r="AC25" s="46" t="n">
        <f aca="false">AC23/AC24</f>
        <v>1.93232918450411</v>
      </c>
      <c r="AD25" s="46" t="n">
        <f aca="false">AD23/AD24</f>
        <v>1.93232918450411</v>
      </c>
      <c r="AE25" s="46" t="n">
        <f aca="false">AE23/AE24</f>
        <v>2.30563191348368</v>
      </c>
      <c r="AF25" s="46" t="n">
        <f aca="false">AF23/AF24</f>
        <v>2.25840591795205</v>
      </c>
      <c r="AG25" s="46" t="n">
        <f aca="false">AG23/AG24</f>
        <v>2.19007894569353</v>
      </c>
      <c r="AH25" s="46" t="n">
        <f aca="false">AH23/AH24</f>
        <v>2.08959810413687</v>
      </c>
      <c r="AI25" s="46" t="n">
        <f aca="false">AI23/AI24</f>
        <v>2.03935768335854</v>
      </c>
      <c r="AJ25" s="46" t="n">
        <f aca="false">AJ23/AJ24</f>
        <v>1.93887684180189</v>
      </c>
      <c r="AK25" s="46" t="n">
        <f aca="false">AK23/AK24</f>
        <v>1.93887684180189</v>
      </c>
      <c r="AL25" s="46" t="n">
        <f aca="false">AL23/AL24</f>
        <v>2.31863001813036</v>
      </c>
      <c r="AM25" s="46" t="n">
        <f aca="false">AM23/AM24</f>
        <v>2.27140402259873</v>
      </c>
      <c r="AN25" s="46" t="n">
        <f aca="false">AN23/AN24</f>
        <v>2.2030770503402</v>
      </c>
      <c r="AO25" s="46" t="n">
        <f aca="false">AO23/AO24</f>
        <v>2.10259620878355</v>
      </c>
      <c r="AP25" s="46" t="n">
        <f aca="false">AP23/AP24</f>
        <v>2.05235578800522</v>
      </c>
      <c r="AQ25" s="46" t="n">
        <f aca="false">AQ23/AQ24</f>
        <v>1.95187494644856</v>
      </c>
      <c r="AR25" s="46" t="n">
        <f aca="false">AR23/AR24</f>
        <v>1.95187494644856</v>
      </c>
      <c r="AS25" s="46" t="n">
        <f aca="false">AS23/AS24</f>
        <v>2.33162812277703</v>
      </c>
      <c r="AT25" s="46" t="n">
        <f aca="false">AT23/AT24</f>
        <v>2.2844021272454</v>
      </c>
      <c r="AU25" s="46" t="n">
        <f aca="false">AU23/AU24</f>
        <v>2.21607515498688</v>
      </c>
      <c r="AV25" s="46" t="n">
        <f aca="false">AV23/AV24</f>
        <v>2.11559431343022</v>
      </c>
      <c r="AW25" s="46" t="n">
        <f aca="false">AW23/AW24</f>
        <v>2.06535389265189</v>
      </c>
      <c r="AX25" s="46" t="n">
        <f aca="false">AX23/AX24</f>
        <v>1.96487305109524</v>
      </c>
      <c r="AY25" s="46" t="n">
        <f aca="false">AY23/AY24</f>
        <v>1.96487305109524</v>
      </c>
    </row>
    <row r="26" customFormat="false" ht="16.5" hidden="false" customHeight="true" outlineLevel="0" collapsed="false">
      <c r="B26" s="7" t="s">
        <v>103</v>
      </c>
      <c r="C26" s="47" t="n">
        <f aca="false">C25-C20</f>
        <v>0.158831221816719</v>
      </c>
      <c r="D26" s="47" t="n">
        <f aca="false">D25-D20</f>
        <v>0.111605226285091</v>
      </c>
      <c r="E26" s="47" t="n">
        <f aca="false">E25-E20</f>
        <v>0.043278254026565</v>
      </c>
      <c r="F26" s="47" t="n">
        <f aca="false">F25-F20</f>
        <v>-0.057202587530091</v>
      </c>
      <c r="G26" s="47" t="n">
        <f aca="false">G25-G20</f>
        <v>-0.107443008308419</v>
      </c>
      <c r="H26" s="47" t="n">
        <f aca="false">H25-H20</f>
        <v>-0.207923849865075</v>
      </c>
      <c r="I26" s="47" t="n">
        <f aca="false">I25-I20</f>
        <v>-0.207923849865075</v>
      </c>
      <c r="J26" s="47" t="n">
        <f aca="false">J25-J20</f>
        <v>0.165330274140056</v>
      </c>
      <c r="K26" s="47" t="n">
        <f aca="false">K25-K20</f>
        <v>0.118104278608428</v>
      </c>
      <c r="L26" s="47" t="n">
        <f aca="false">L25-L20</f>
        <v>0.0497773063499021</v>
      </c>
      <c r="M26" s="47" t="n">
        <f aca="false">M25-M20</f>
        <v>-0.0507035352067535</v>
      </c>
      <c r="N26" s="47" t="n">
        <f aca="false">N25-N20</f>
        <v>-0.100943955985081</v>
      </c>
      <c r="O26" s="47" t="n">
        <f aca="false">O25-O20</f>
        <v>-0.201424797541737</v>
      </c>
      <c r="P26" s="47" t="n">
        <f aca="false">P25-P20</f>
        <v>-0.201424797541737</v>
      </c>
      <c r="Q26" s="47" t="n">
        <f aca="false">Q25-Q20</f>
        <v>0.171829326463393</v>
      </c>
      <c r="R26" s="47" t="n">
        <f aca="false">R25-R20</f>
        <v>0.124603330931766</v>
      </c>
      <c r="S26" s="47" t="n">
        <f aca="false">S25-S20</f>
        <v>0.0562763586732395</v>
      </c>
      <c r="T26" s="47" t="n">
        <f aca="false">T25-T20</f>
        <v>-0.0442044828834165</v>
      </c>
      <c r="U26" s="47" t="n">
        <f aca="false">U25-U20</f>
        <v>-0.0944449036617443</v>
      </c>
      <c r="V26" s="47" t="n">
        <f aca="false">V25-V20</f>
        <v>-0.1949257452184</v>
      </c>
      <c r="W26" s="47" t="n">
        <f aca="false">W25-W20</f>
        <v>-0.1949257452184</v>
      </c>
      <c r="X26" s="47" t="n">
        <f aca="false">X25-X20</f>
        <v>0.184827431110068</v>
      </c>
      <c r="Y26" s="47" t="n">
        <f aca="false">Y25-Y20</f>
        <v>0.137601435578441</v>
      </c>
      <c r="Z26" s="47" t="n">
        <f aca="false">Z25-Z20</f>
        <v>0.0692744633199141</v>
      </c>
      <c r="AA26" s="47" t="n">
        <f aca="false">AA25-AA20</f>
        <v>-0.0312063782367416</v>
      </c>
      <c r="AB26" s="47" t="n">
        <f aca="false">AB25-AB20</f>
        <v>-0.0814467990150694</v>
      </c>
      <c r="AC26" s="47" t="n">
        <f aca="false">AC25-AC20</f>
        <v>-0.181927640571725</v>
      </c>
      <c r="AD26" s="47" t="n">
        <f aca="false">AD25-AD20</f>
        <v>-0.181927640571725</v>
      </c>
      <c r="AE26" s="47" t="n">
        <f aca="false">AE25-AE20</f>
        <v>0.191375088407847</v>
      </c>
      <c r="AF26" s="47" t="n">
        <f aca="false">AF25-AF20</f>
        <v>0.144149092876218</v>
      </c>
      <c r="AG26" s="47" t="n">
        <f aca="false">AG25-AG20</f>
        <v>0.0758221206176923</v>
      </c>
      <c r="AH26" s="47" t="n">
        <f aca="false">AH25-AH20</f>
        <v>-0.0246587209389633</v>
      </c>
      <c r="AI26" s="47" t="n">
        <f aca="false">AI25-AI20</f>
        <v>-0.0748991417172915</v>
      </c>
      <c r="AJ26" s="47" t="n">
        <f aca="false">AJ25-AJ20</f>
        <v>-0.175379983273947</v>
      </c>
      <c r="AK26" s="47" t="n">
        <f aca="false">AK25-AK20</f>
        <v>-0.175379983273947</v>
      </c>
      <c r="AL26" s="47" t="n">
        <f aca="false">AL25-AL20</f>
        <v>0.204373193054521</v>
      </c>
      <c r="AM26" s="47" t="n">
        <f aca="false">AM25-AM20</f>
        <v>0.157147197522893</v>
      </c>
      <c r="AN26" s="47" t="n">
        <f aca="false">AN25-AN20</f>
        <v>0.0888202252643673</v>
      </c>
      <c r="AO26" s="47" t="n">
        <f aca="false">AO25-AO20</f>
        <v>-0.0116606162922892</v>
      </c>
      <c r="AP26" s="47" t="n">
        <f aca="false">AP25-AP20</f>
        <v>-0.061901037070617</v>
      </c>
      <c r="AQ26" s="47" t="n">
        <f aca="false">AQ25-AQ20</f>
        <v>-0.162381878627273</v>
      </c>
      <c r="AR26" s="47" t="n">
        <f aca="false">AR25-AR20</f>
        <v>-0.162381878627273</v>
      </c>
      <c r="AS26" s="47" t="n">
        <f aca="false">AS25-AS20</f>
        <v>0.217371297701196</v>
      </c>
      <c r="AT26" s="47" t="n">
        <f aca="false">AT25-AT20</f>
        <v>0.170145302169568</v>
      </c>
      <c r="AU26" s="47" t="n">
        <f aca="false">AU25-AU20</f>
        <v>0.101818329911042</v>
      </c>
      <c r="AV26" s="47" t="n">
        <f aca="false">AV25-AV20</f>
        <v>0.00133748835438574</v>
      </c>
      <c r="AW26" s="47" t="n">
        <f aca="false">AW25-AW20</f>
        <v>-0.0489029324239421</v>
      </c>
      <c r="AX26" s="47" t="n">
        <f aca="false">AX25-AX20</f>
        <v>-0.149383773980598</v>
      </c>
      <c r="AY26" s="47" t="n">
        <f aca="false">AY25-AY20</f>
        <v>-0.149383773980598</v>
      </c>
    </row>
    <row r="27" customFormat="false" ht="36" hidden="false" customHeight="true" outlineLevel="0" collapsed="false">
      <c r="B27" s="48" t="s">
        <v>104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</row>
    <row r="29" customFormat="false" ht="18" hidden="false" customHeight="true" outlineLevel="0" collapsed="false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</row>
    <row r="30" customFormat="false" ht="16.5" hidden="false" customHeight="true" outlineLevel="0" collapsed="false"/>
    <row r="31" customFormat="false" ht="16.5" hidden="false" customHeight="true" outlineLevel="0" collapsed="false"/>
    <row r="32" customFormat="false" ht="16.5" hidden="false" customHeight="true" outlineLevel="0" collapsed="false"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</row>
  </sheetData>
  <mergeCells count="23">
    <mergeCell ref="B1:AY1"/>
    <mergeCell ref="B2:AY2"/>
    <mergeCell ref="C4:I4"/>
    <mergeCell ref="J4:P4"/>
    <mergeCell ref="Q4:W4"/>
    <mergeCell ref="X4:AD4"/>
    <mergeCell ref="AE4:AK4"/>
    <mergeCell ref="AL4:AR4"/>
    <mergeCell ref="AS4:AY4"/>
    <mergeCell ref="C5:I5"/>
    <mergeCell ref="J5:P5"/>
    <mergeCell ref="Q5:W5"/>
    <mergeCell ref="X5:AD5"/>
    <mergeCell ref="AE5:AK5"/>
    <mergeCell ref="AL5:AR5"/>
    <mergeCell ref="AS5:AY5"/>
    <mergeCell ref="B7:AY7"/>
    <mergeCell ref="B14:AY14"/>
    <mergeCell ref="B17:AY17"/>
    <mergeCell ref="B19:AY19"/>
    <mergeCell ref="B27:AY27"/>
    <mergeCell ref="B29:AY29"/>
    <mergeCell ref="C32:AY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30"/>
  </cols>
  <sheetData>
    <row r="1" customFormat="false" ht="27.75" hidden="false" customHeight="true" outlineLevel="0" collapsed="false">
      <c r="B1" s="50" t="s">
        <v>105</v>
      </c>
      <c r="C1" s="50"/>
      <c r="D1" s="50"/>
      <c r="E1" s="50"/>
    </row>
    <row r="2" customFormat="false" ht="39.75" hidden="false" customHeight="true" outlineLevel="0" collapsed="false">
      <c r="B2" s="51" t="s">
        <v>106</v>
      </c>
      <c r="C2" s="51"/>
      <c r="D2" s="51"/>
      <c r="E2" s="51"/>
    </row>
    <row r="3" customFormat="false" ht="9.75" hidden="false" customHeight="true" outlineLevel="0" collapsed="false"/>
    <row r="4" customFormat="false" ht="18" hidden="false" customHeight="true" outlineLevel="0" collapsed="false">
      <c r="B4" s="6" t="s">
        <v>107</v>
      </c>
      <c r="C4" s="6"/>
      <c r="D4" s="6"/>
      <c r="E4" s="6"/>
    </row>
    <row r="5" customFormat="false" ht="16.5" hidden="false" customHeight="true" outlineLevel="0" collapsed="false">
      <c r="B5" s="19" t="s">
        <v>108</v>
      </c>
      <c r="C5" s="19" t="s">
        <v>109</v>
      </c>
      <c r="D5" s="19" t="s">
        <v>110</v>
      </c>
      <c r="E5" s="52" t="s">
        <v>111</v>
      </c>
    </row>
    <row r="6" customFormat="false" ht="16.5" hidden="false" customHeight="true" outlineLevel="0" collapsed="false">
      <c r="B6" s="42" t="s">
        <v>112</v>
      </c>
      <c r="C6" s="42" t="s">
        <v>113</v>
      </c>
      <c r="D6" s="42"/>
      <c r="E6" s="53" t="s">
        <v>114</v>
      </c>
    </row>
    <row r="7" customFormat="false" ht="16.5" hidden="false" customHeight="true" outlineLevel="0" collapsed="false">
      <c r="B7" s="42" t="s">
        <v>115</v>
      </c>
      <c r="C7" s="42"/>
      <c r="D7" s="42" t="s">
        <v>116</v>
      </c>
      <c r="E7" s="53" t="s">
        <v>114</v>
      </c>
    </row>
    <row r="8" customFormat="false" ht="16.5" hidden="false" customHeight="true" outlineLevel="0" collapsed="false">
      <c r="B8" s="54"/>
      <c r="C8" s="54"/>
      <c r="D8" s="54"/>
      <c r="E8" s="55"/>
    </row>
    <row r="9" customFormat="false" ht="16.5" hidden="false" customHeight="true" outlineLevel="0" collapsed="false">
      <c r="B9" s="42" t="s">
        <v>117</v>
      </c>
      <c r="C9" s="42" t="s">
        <v>118</v>
      </c>
      <c r="D9" s="42"/>
      <c r="E9" s="53" t="s">
        <v>119</v>
      </c>
    </row>
    <row r="10" customFormat="false" ht="9.75" hidden="false" customHeight="true" outlineLevel="0" collapsed="false"/>
    <row r="11" customFormat="false" ht="18" hidden="false" customHeight="true" outlineLevel="0" collapsed="false">
      <c r="B11" s="6" t="s">
        <v>120</v>
      </c>
      <c r="C11" s="6"/>
      <c r="D11" s="6"/>
      <c r="E11" s="6"/>
    </row>
    <row r="12" customFormat="false" ht="19.5" hidden="false" customHeight="true" outlineLevel="0" collapsed="false">
      <c r="B12" s="56" t="s">
        <v>121</v>
      </c>
      <c r="C12" s="57" t="s">
        <v>122</v>
      </c>
      <c r="D12" s="57"/>
      <c r="E12" s="57"/>
    </row>
    <row r="13" customFormat="false" ht="19.5" hidden="false" customHeight="true" outlineLevel="0" collapsed="false">
      <c r="B13" s="58" t="s">
        <v>123</v>
      </c>
      <c r="C13" s="59" t="s">
        <v>124</v>
      </c>
      <c r="D13" s="59"/>
      <c r="E13" s="59" t="s">
        <v>125</v>
      </c>
    </row>
    <row r="14" customFormat="false" ht="19.5" hidden="false" customHeight="true" outlineLevel="0" collapsed="false">
      <c r="B14" s="56" t="s">
        <v>126</v>
      </c>
      <c r="C14" s="57" t="s">
        <v>127</v>
      </c>
      <c r="D14" s="57"/>
      <c r="E14" s="57"/>
    </row>
    <row r="15" customFormat="false" ht="9.75" hidden="false" customHeight="true" outlineLevel="0" collapsed="false"/>
    <row r="16" customFormat="false" ht="18" hidden="false" customHeight="true" outlineLevel="0" collapsed="false">
      <c r="B16" s="6" t="s">
        <v>128</v>
      </c>
      <c r="C16" s="6"/>
      <c r="D16" s="6"/>
      <c r="E16" s="6"/>
    </row>
    <row r="17" customFormat="false" ht="15" hidden="false" customHeight="true" outlineLevel="0" collapsed="false">
      <c r="B17" s="60" t="s">
        <v>129</v>
      </c>
    </row>
    <row r="18" customFormat="false" ht="16.5" hidden="false" customHeight="true" outlineLevel="0" collapsed="false">
      <c r="B18" s="7" t="s">
        <v>130</v>
      </c>
      <c r="C18" s="61" t="n">
        <v>1000</v>
      </c>
      <c r="D18" s="62" t="s">
        <v>131</v>
      </c>
    </row>
    <row r="19" customFormat="false" ht="16.5" hidden="false" customHeight="true" outlineLevel="0" collapsed="false">
      <c r="B19" s="7" t="s">
        <v>132</v>
      </c>
      <c r="C19" s="61" t="n">
        <v>600</v>
      </c>
      <c r="D19" s="62" t="s">
        <v>131</v>
      </c>
    </row>
    <row r="20" customFormat="false" ht="16.5" hidden="false" customHeight="true" outlineLevel="0" collapsed="false">
      <c r="B20" s="7" t="s">
        <v>133</v>
      </c>
      <c r="C20" s="20" t="n">
        <v>0.2</v>
      </c>
      <c r="D20" s="62" t="s">
        <v>134</v>
      </c>
    </row>
    <row r="21" customFormat="false" ht="16.5" hidden="false" customHeight="true" outlineLevel="0" collapsed="false">
      <c r="B21" s="7" t="s">
        <v>135</v>
      </c>
      <c r="C21" s="12" t="n">
        <f aca="false">C18*0.02</f>
        <v>20</v>
      </c>
      <c r="D21" s="62" t="s">
        <v>131</v>
      </c>
    </row>
    <row r="22" customFormat="false" ht="16.5" hidden="false" customHeight="true" outlineLevel="0" collapsed="false">
      <c r="B22" s="7" t="s">
        <v>136</v>
      </c>
      <c r="C22" s="12" t="n">
        <f aca="false">C21</f>
        <v>20</v>
      </c>
      <c r="D22" s="62" t="s">
        <v>131</v>
      </c>
    </row>
    <row r="23" customFormat="false" ht="16.5" hidden="false" customHeight="true" outlineLevel="0" collapsed="false">
      <c r="B23" s="7" t="s">
        <v>137</v>
      </c>
      <c r="C23" s="12" t="n">
        <f aca="false">C19-C21</f>
        <v>580</v>
      </c>
      <c r="D23" s="62" t="s">
        <v>131</v>
      </c>
    </row>
    <row r="24" customFormat="false" ht="9.75" hidden="false" customHeight="true" outlineLevel="0" collapsed="false"/>
    <row r="25" customFormat="false" ht="16.5" hidden="false" customHeight="true" outlineLevel="0" collapsed="false">
      <c r="B25" s="7" t="s">
        <v>138</v>
      </c>
      <c r="C25" s="12" t="n">
        <f aca="false">C18</f>
        <v>1000</v>
      </c>
    </row>
    <row r="26" customFormat="false" ht="16.5" hidden="false" customHeight="true" outlineLevel="0" collapsed="false">
      <c r="B26" s="7" t="s">
        <v>139</v>
      </c>
      <c r="C26" s="12" t="n">
        <f aca="false">C18*C20</f>
        <v>200</v>
      </c>
    </row>
    <row r="27" customFormat="false" ht="16.5" hidden="false" customHeight="true" outlineLevel="0" collapsed="false">
      <c r="B27" s="7"/>
    </row>
    <row r="28" customFormat="false" ht="16.5" hidden="false" customHeight="true" outlineLevel="0" collapsed="false">
      <c r="B28" s="7" t="s">
        <v>140</v>
      </c>
      <c r="C28" s="12" t="n">
        <f aca="false">C18+C23</f>
        <v>1580</v>
      </c>
    </row>
    <row r="29" customFormat="false" ht="16.5" hidden="false" customHeight="true" outlineLevel="0" collapsed="false">
      <c r="B29" s="7" t="s">
        <v>141</v>
      </c>
    </row>
    <row r="30" customFormat="false" ht="16.5" hidden="false" customHeight="true" outlineLevel="0" collapsed="false">
      <c r="B30" s="63" t="s">
        <v>142</v>
      </c>
      <c r="C30" s="64" t="n">
        <f aca="false">(C18+C23)*C20</f>
        <v>316</v>
      </c>
    </row>
    <row r="31" customFormat="false" ht="16.5" hidden="false" customHeight="true" outlineLevel="0" collapsed="false">
      <c r="B31" s="7"/>
    </row>
    <row r="32" customFormat="false" ht="16.5" hidden="false" customHeight="true" outlineLevel="0" collapsed="false">
      <c r="B32" s="65" t="s">
        <v>143</v>
      </c>
      <c r="C32" s="64" t="n">
        <f aca="false">(C18+C23)*C20-C18*C20</f>
        <v>116</v>
      </c>
    </row>
    <row r="33" customFormat="false" ht="16.5" hidden="false" customHeight="true" outlineLevel="0" collapsed="false">
      <c r="B33" s="63" t="s">
        <v>144</v>
      </c>
      <c r="C33" s="64" t="n">
        <f aca="false">-C19+(C18-C23*C20)</f>
        <v>284</v>
      </c>
    </row>
    <row r="35" customFormat="false" ht="9.75" hidden="false" customHeight="true" outlineLevel="0" collapsed="false"/>
    <row r="36" customFormat="false" ht="43.5" hidden="false" customHeight="true" outlineLevel="0" collapsed="false">
      <c r="B36" s="66" t="s">
        <v>145</v>
      </c>
      <c r="C36" s="66"/>
      <c r="D36" s="66"/>
      <c r="E36" s="66"/>
    </row>
  </sheetData>
  <mergeCells count="6">
    <mergeCell ref="B1:E1"/>
    <mergeCell ref="B2:E2"/>
    <mergeCell ref="B4:E4"/>
    <mergeCell ref="B11:E11"/>
    <mergeCell ref="B16:E16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2026-04-01T22:39:12Z</dcterms:created>
  <dc:creator>openpyxl</dc:creator>
  <dc:description/>
  <dc:language>en-US</dc:language>
  <cp:lastModifiedBy/>
  <dcterms:modified xsi:type="dcterms:W3CDTF">2026-04-02T02:57:16Z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